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ThisWorkbook" defaultThemeVersion="166925"/>
  <mc:AlternateContent xmlns:mc="http://schemas.openxmlformats.org/markup-compatibility/2006">
    <mc:Choice Requires="x15">
      <x15ac:absPath xmlns:x15ac="http://schemas.microsoft.com/office/spreadsheetml/2010/11/ac" url="/Users/juliocontreras/Downloads/"/>
    </mc:Choice>
  </mc:AlternateContent>
  <xr:revisionPtr revIDLastSave="0" documentId="13_ncr:1_{DC20A7E4-2D1A-E742-8299-24595FB4FA58}" xr6:coauthVersionLast="47" xr6:coauthVersionMax="47" xr10:uidLastSave="{00000000-0000-0000-0000-000000000000}"/>
  <bookViews>
    <workbookView xWindow="0" yWindow="600" windowWidth="38400" windowHeight="19760" xr2:uid="{00000000-000D-0000-FFFF-FFFF00000000}"/>
  </bookViews>
  <sheets>
    <sheet name="Inicio" sheetId="219" r:id="rId1"/>
    <sheet name="Agradecimiento" sheetId="169" r:id="rId2"/>
    <sheet name="Contenido" sheetId="170" r:id="rId3"/>
    <sheet name="Metodologia" sheetId="222" r:id="rId4"/>
    <sheet name="Empresas Participantes" sheetId="214" r:id="rId5"/>
    <sheet name="Estudio de Mercado General" sheetId="212" r:id="rId6"/>
    <sheet name="Distribución de Compensación" sheetId="220" r:id="rId7"/>
    <sheet name="Market Analyzer" sheetId="134" r:id="rId8"/>
    <sheet name="Explicación TCR" sheetId="221" r:id="rId9"/>
    <sheet name="Acerca de AC Consulting" sheetId="213" r:id="rId10"/>
    <sheet name="Acerca de AC Consulting " sheetId="173" r:id="rId11"/>
    <sheet name="Portafolio de Productos" sheetId="174" r:id="rId12"/>
    <sheet name="Contacto" sheetId="175" r:id="rId13"/>
  </sheets>
  <definedNames>
    <definedName name="_xlnm._FilterDatabase" localSheetId="7" hidden="1">'Market Analyzer'!$A$6:$H$198</definedName>
    <definedName name="_xlchart.v1.0" hidden="1">'Empresas Participantes'!$X$2:$X$4</definedName>
    <definedName name="_xlchart.v1.1" hidden="1">'Empresas Participantes'!$Z$2:$Z$4</definedName>
    <definedName name="_xlchart.v1.2" hidden="1">'Empresas Participantes'!$T$2:$T$33</definedName>
    <definedName name="_xlchart.v1.3" hidden="1">'Empresas Participantes'!$V$2:$V$33</definedName>
    <definedName name="AcF_Val">#REF!</definedName>
    <definedName name="AcI_Val">#REF!</definedName>
    <definedName name="AcM_Val">#REF!</definedName>
    <definedName name="administración">#REF!</definedName>
    <definedName name="andromedatech">#REF!</definedName>
    <definedName name="ArchivoCezane" localSheetId="0">#REF!</definedName>
    <definedName name="ArchivoCezane">#REF!</definedName>
    <definedName name="_xlnm.Print_Area" localSheetId="1">Agradecimiento!$A$1:$M$20</definedName>
    <definedName name="_xlnm.Print_Area" localSheetId="2">Contenido!$A$1:$N$13</definedName>
    <definedName name="_xlnm.Print_Area" localSheetId="4">'Empresas Participantes'!$A$1:$F$63</definedName>
    <definedName name="bae" localSheetId="6">#REF!</definedName>
    <definedName name="bae" localSheetId="4">#REF!</definedName>
    <definedName name="bae">#REF!</definedName>
    <definedName name="capital_humano">#REF!</definedName>
    <definedName name="cervecentro">#REF!</definedName>
    <definedName name="Cod">#REF!</definedName>
    <definedName name="CodigoHewitt">#REF!</definedName>
    <definedName name="connectium">#REF!</definedName>
    <definedName name="Datacargosgeneral" localSheetId="0">#REF!</definedName>
    <definedName name="Datacargosgeneral">#REF!</definedName>
    <definedName name="Datacargostecnologia" localSheetId="0">#REF!</definedName>
    <definedName name="Datacargostecnologia">#REF!</definedName>
    <definedName name="Datacliente" localSheetId="6">#REF!</definedName>
    <definedName name="Datacliente" localSheetId="0">#REF!</definedName>
    <definedName name="Datacliente">#REF!</definedName>
    <definedName name="Datageneral">#REF!</definedName>
    <definedName name="Datagradosgeneral" localSheetId="6">#REF!</definedName>
    <definedName name="Datagradosgeneral" localSheetId="0">#REF!</definedName>
    <definedName name="Datagradosgeneral">#REF!</definedName>
    <definedName name="Datagradostecnologia" localSheetId="0">#REF!</definedName>
    <definedName name="Datagradostecnologia">#REF!</definedName>
    <definedName name="Dataselectoa">#REF!</definedName>
    <definedName name="Dirección">#REF!</definedName>
    <definedName name="ekiipago">#REF!</definedName>
    <definedName name="ESTUDIOMD" localSheetId="0">#REF!</definedName>
    <definedName name="ESTUDIOMD">#REF!</definedName>
    <definedName name="excel" localSheetId="4">#REF!</definedName>
    <definedName name="excel" localSheetId="0">#REF!</definedName>
    <definedName name="excel">#REF!</definedName>
    <definedName name="Format2Print">#REF!</definedName>
    <definedName name="gradosselectob">#REF!</definedName>
    <definedName name="holadoc">#REF!</definedName>
    <definedName name="KHB_Val">#REF!</definedName>
    <definedName name="KHHRS_Val">#REF!</definedName>
    <definedName name="LetterVal">#REF!</definedName>
    <definedName name="LProf">#REF!</definedName>
    <definedName name="mde" localSheetId="6">#REF!</definedName>
    <definedName name="mde" localSheetId="4">#REF!</definedName>
    <definedName name="mde">#REF!</definedName>
    <definedName name="online1" localSheetId="4">#REF!</definedName>
    <definedName name="online1" localSheetId="0">#REF!</definedName>
    <definedName name="online1">#REF!</definedName>
    <definedName name="operaciones">#REF!</definedName>
    <definedName name="PROFIL">#REF!</definedName>
    <definedName name="proyectos">#REF!</definedName>
    <definedName name="PSC_Val">#REF!</definedName>
    <definedName name="PSF_Val">#REF!</definedName>
    <definedName name="rme" localSheetId="6">#REF!</definedName>
    <definedName name="rme" localSheetId="4">#REF!</definedName>
    <definedName name="rme">#REF!</definedName>
    <definedName name="servicios_generales">#REF!</definedName>
    <definedName name="tecnología">#REF!</definedName>
    <definedName name="todos">#REF!</definedName>
    <definedName name="transversales">#REF!</definedName>
    <definedName name="valoracion" localSheetId="0">#REF!</definedName>
    <definedName name="valoracion">#REF!</definedName>
    <definedName name="ventas">#REF!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221" l="1"/>
  <c r="H20" i="221"/>
  <c r="G20" i="221"/>
  <c r="F20" i="221"/>
  <c r="H19" i="221"/>
  <c r="G19" i="221"/>
  <c r="F19" i="221"/>
  <c r="H18" i="221"/>
  <c r="H21" i="221" s="1"/>
  <c r="G18" i="221"/>
  <c r="G21" i="221" s="1"/>
  <c r="F18" i="221"/>
  <c r="F21" i="221" s="1"/>
  <c r="U21" i="214"/>
  <c r="V21" i="214" s="1"/>
  <c r="U20" i="214"/>
  <c r="V20" i="214" s="1"/>
  <c r="U19" i="214"/>
  <c r="V19" i="214" s="1"/>
  <c r="U18" i="214"/>
  <c r="V18" i="214" s="1"/>
  <c r="U17" i="214"/>
  <c r="V17" i="214" s="1"/>
  <c r="U16" i="214"/>
  <c r="V16" i="214" s="1"/>
  <c r="U15" i="214"/>
  <c r="V15" i="214" s="1"/>
  <c r="U14" i="214"/>
  <c r="V14" i="214" s="1"/>
  <c r="U13" i="214"/>
  <c r="V13" i="214" s="1"/>
  <c r="U12" i="214"/>
  <c r="V12" i="214" s="1"/>
  <c r="U11" i="214"/>
  <c r="V11" i="214" s="1"/>
  <c r="U10" i="214"/>
  <c r="V10" i="214" s="1"/>
  <c r="U9" i="214"/>
  <c r="V9" i="214" s="1"/>
  <c r="U8" i="214"/>
  <c r="V8" i="214" s="1"/>
  <c r="U7" i="214"/>
  <c r="V7" i="214" s="1"/>
  <c r="U6" i="214"/>
  <c r="V6" i="214" s="1"/>
  <c r="U5" i="214"/>
  <c r="V5" i="214" s="1"/>
  <c r="Y4" i="214"/>
  <c r="Z4" i="214" s="1"/>
  <c r="U4" i="214"/>
  <c r="V4" i="214" s="1"/>
  <c r="Y3" i="214"/>
  <c r="Z3" i="214" s="1"/>
  <c r="U3" i="214"/>
  <c r="V3" i="214" s="1"/>
  <c r="Y2" i="214"/>
  <c r="Z2" i="214" s="1"/>
  <c r="U2" i="214"/>
  <c r="V2" i="214" s="1"/>
</calcChain>
</file>

<file path=xl/sharedStrings.xml><?xml version="1.0" encoding="utf-8"?>
<sst xmlns="http://schemas.openxmlformats.org/spreadsheetml/2006/main" count="985" uniqueCount="473">
  <si>
    <t>FECHA:</t>
  </si>
  <si>
    <t>EMPRESAS PARTICIPANTES</t>
  </si>
  <si>
    <t>-</t>
  </si>
  <si>
    <t>ESTUDIO DE MERCADO GENERAL</t>
  </si>
  <si>
    <t>ACERCA DE AC CONSULTING</t>
  </si>
  <si>
    <t>PORTAFOLIO DE PRODUCTOS</t>
  </si>
  <si>
    <t>CONTACTO</t>
  </si>
  <si>
    <t>DESARROLLO DE PERSONAS</t>
  </si>
  <si>
    <t>Plan de Carrera</t>
  </si>
  <si>
    <t>Plan de Sucesión</t>
  </si>
  <si>
    <t>Evaluación del Desempeño</t>
  </si>
  <si>
    <t>Taxonomía de Competencias Blandas (comportamientos)</t>
  </si>
  <si>
    <t>Evaluación de trabajadores vs perfil de cargo</t>
  </si>
  <si>
    <t>Establecimiento de programas de formación para el cierre de brechas entre el perfil del cargo y el perfil del colaborador</t>
  </si>
  <si>
    <t>Establecer programas de formación de nivelación para personas con potencial para crecer dentro de la organización (puesto actual vs puesto futuro)</t>
  </si>
  <si>
    <t>Programas de formación gerencial</t>
  </si>
  <si>
    <t>Coaching</t>
  </si>
  <si>
    <t>COMPENSACIÓN Y BENEFICIOS</t>
  </si>
  <si>
    <t>Diagnóstico de estructura organizacional y diseño de estructuras eficientes que respondan a la misión, visión, objetivos estratégicos, modelo de negocio y modelo operativo de la organización</t>
  </si>
  <si>
    <t>Establecimiento de política salarial para definición de sueldos de ingreso, por ascenso, por promoción, de nivelación, por inflación con base a análisis de Capacidad de pago de la empresa, Mercado, Inflación y Desempeño de la persona</t>
  </si>
  <si>
    <t>Definición estructuras salariales por niveles y sistemas de bandas mínimos y máximos</t>
  </si>
  <si>
    <t>Estudio y diagnóstico de beneficios de preferencia relativa para definición y/o actualización y/o modificación de los beneficios de carácter no salarial actuales</t>
  </si>
  <si>
    <t>Programa de beneficios flexibles</t>
  </si>
  <si>
    <t>Diseño y gobernabilidad programas de reconocimiento al personal</t>
  </si>
  <si>
    <t>Diseño de gastos de personal y planificación</t>
  </si>
  <si>
    <t>CAPTACIÓN Y SELECCIÓN</t>
  </si>
  <si>
    <t>Definición de perfil de cargo (Descripción del cargo, Perfil del ocupante, Valores fomentados por la compañía, Compensación)</t>
  </si>
  <si>
    <t>Información de mercado (P90 / P75 / P50 / P25 / P10)</t>
  </si>
  <si>
    <t>Captación de candidatos (Batería Despecore)</t>
  </si>
  <si>
    <t>Valoración de competencias</t>
  </si>
  <si>
    <t>Selección de candidatos</t>
  </si>
  <si>
    <t>Negociación de paquetes salariales</t>
  </si>
  <si>
    <t>ADMINISTRACIÓN DE NÓMINA</t>
  </si>
  <si>
    <t>Gestión y administración pago de nómina</t>
  </si>
  <si>
    <t>Gestión de egreso y cálculo para pago de liquidación por retiro voluntario</t>
  </si>
  <si>
    <t>Gestión, negociación y cálculo para liquidación por mutuo acuerdo</t>
  </si>
  <si>
    <t>Administración de salarios y beneficios de nómina</t>
  </si>
  <si>
    <t>Administrar políticas de préstamos, bonos únicos y especiales y sus medios de pago</t>
  </si>
  <si>
    <t>Administración de base de datos de los colaboradores</t>
  </si>
  <si>
    <t>Estadísticas de personal</t>
  </si>
  <si>
    <t>Auditoría de procesos administrativos y legales en materia laboral</t>
  </si>
  <si>
    <t>IDENTIDAD EMPRESARIAL</t>
  </si>
  <si>
    <t>Clima organizacional</t>
  </si>
  <si>
    <t>Diseño, desarrollo e implementación de encuesta de clima</t>
  </si>
  <si>
    <t>Intervención de clima de acuerdo a resultados</t>
  </si>
  <si>
    <t>Desarrollo de valores</t>
  </si>
  <si>
    <t>BIENESTAR DE PERSONAL</t>
  </si>
  <si>
    <t>SEGURIDAD Y SALUD LABORAL (LOPCYMAT)</t>
  </si>
  <si>
    <t>Definición, desarrollo e implementación de programas para cumplimiento de deberes formales de seguridad y salud laboral</t>
  </si>
  <si>
    <t>Auditoría a programa de seguridad y salud laboral</t>
  </si>
  <si>
    <t>EVALUACIÓN DE DESEMPEÑO Y REPORTES</t>
  </si>
  <si>
    <t>Definición de procesos</t>
  </si>
  <si>
    <t>Definición de indicadores de gestión de procesos</t>
  </si>
  <si>
    <t>Análisis de resultados de los indicadores vs meta</t>
  </si>
  <si>
    <t>Propuestas de solución sobre desviación</t>
  </si>
  <si>
    <t xml:space="preserve">@ac_consulting
www.acconsult.net
</t>
  </si>
  <si>
    <t>Estudio de mercado general y específico</t>
  </si>
  <si>
    <t>Definición, desarrollo, implementación y ejecución eventos corporativos, tales como: día de la madre, padre y niños, fiesta corporativa, entre otros</t>
  </si>
  <si>
    <t>Desarrollo de negociaciones con proveedores relacionados con beneficios de carácter no salarial, tales como: Seguro de salud, vida, ticket alimento, entre otros</t>
  </si>
  <si>
    <t>Gerente de Contabilidad</t>
  </si>
  <si>
    <t>Gerente de Crédito y Cobranzas</t>
  </si>
  <si>
    <t>Gerente de Tesorería</t>
  </si>
  <si>
    <t>Auditor Senior</t>
  </si>
  <si>
    <t>Auditor Junior</t>
  </si>
  <si>
    <t>Especialista de Impuestos</t>
  </si>
  <si>
    <t>Analista de Tesorería</t>
  </si>
  <si>
    <t>Analista de Crédito y Cobranzas</t>
  </si>
  <si>
    <t>Analista de Cuentas por Pagar</t>
  </si>
  <si>
    <t>Analista Contable Sr.</t>
  </si>
  <si>
    <t>Analista Contable Jr.</t>
  </si>
  <si>
    <t>Participantes</t>
  </si>
  <si>
    <t>Planificador de Compras</t>
  </si>
  <si>
    <t>Gerente de Importación</t>
  </si>
  <si>
    <t>Analista de Importación</t>
  </si>
  <si>
    <t>Analista de Nómina</t>
  </si>
  <si>
    <t>Analista de RRHH Sr.</t>
  </si>
  <si>
    <t>Analista de RRHH Jr.</t>
  </si>
  <si>
    <t>Abogado</t>
  </si>
  <si>
    <t>Gerente de Infraestructura</t>
  </si>
  <si>
    <t>Administrador de Bases de Datos</t>
  </si>
  <si>
    <t>Secretaria Ejecutiva</t>
  </si>
  <si>
    <t>Asistente Administrativo</t>
  </si>
  <si>
    <t>Operador de Limpieza</t>
  </si>
  <si>
    <t>Gerente Regional de Ventas</t>
  </si>
  <si>
    <t>Analista de Mercadeo</t>
  </si>
  <si>
    <t>Gerente General Logística y Distribución</t>
  </si>
  <si>
    <t>Despachador</t>
  </si>
  <si>
    <t>Supervisor Regional de Operaciones</t>
  </si>
  <si>
    <t>Inspector de Protección Integral/ Seguridad</t>
  </si>
  <si>
    <t>Gerente General</t>
  </si>
  <si>
    <t>MARKET ANALYZER</t>
  </si>
  <si>
    <t>DATA:</t>
  </si>
  <si>
    <t>Diseño, gobernabilidad y desarrollo de programas de compensación variable para niveles ejecutivos, tácticos, operativos y fuerza de ventas</t>
  </si>
  <si>
    <t>Para este análisis se integraron todos los pagos reportados por el mercado (Salario mensual, Bono de alimentación, Otros pagos fijos mensuales (con y sin impacto), Pago en moneda dura mensual.</t>
  </si>
  <si>
    <t>Niveles</t>
  </si>
  <si>
    <t>Gerente de Legal / Consultor Jurídico</t>
  </si>
  <si>
    <t>Gerente General de Sistemas / Director de TI</t>
  </si>
  <si>
    <t>Gerente de IT / Gerente de Sistemas</t>
  </si>
  <si>
    <t>Jefe de Sistemas / Coordinador de Sistemas o TI</t>
  </si>
  <si>
    <t>Analista de Sistemas / Soporte Técnico</t>
  </si>
  <si>
    <t>Desarrollador Front End</t>
  </si>
  <si>
    <t>Desarrollador Full Stack</t>
  </si>
  <si>
    <t>Coordinador/ Supervisor de Infraestructura</t>
  </si>
  <si>
    <t>Analista de Infraestructura / Analista de Redes</t>
  </si>
  <si>
    <t>Jefe de Administración / Coord. de Administración</t>
  </si>
  <si>
    <t>Analista Administrativo</t>
  </si>
  <si>
    <t>Jefe de Tesorería / Coordinador de Tesorería</t>
  </si>
  <si>
    <t>Jefe / Coord. de Crédito y Cobranzas</t>
  </si>
  <si>
    <t>Jefe / Coord. De Cuentas por Pagar</t>
  </si>
  <si>
    <t>Jefe de Contabilidad / Coor. de Contabilidad</t>
  </si>
  <si>
    <t>Auxiliar Contable</t>
  </si>
  <si>
    <t>Jefe de Impuesto / Coord. de Impuestos</t>
  </si>
  <si>
    <t>Jefe de Auditoría / Coor. de Auditoría</t>
  </si>
  <si>
    <t>Jefe de Nómina / Coord. de Nómina</t>
  </si>
  <si>
    <t>Gerente de Compensación y Beneficios</t>
  </si>
  <si>
    <t>Especialista de Compensación y Beneficios</t>
  </si>
  <si>
    <t>Gerente de Servicios Generales</t>
  </si>
  <si>
    <t>Jefe / Coord. de Servicios Generales</t>
  </si>
  <si>
    <t>Gerente de Marca / Producto</t>
  </si>
  <si>
    <t>Gerente General de Ventas / Director de Ventas</t>
  </si>
  <si>
    <t>Supervisor / Coord. de Ventas</t>
  </si>
  <si>
    <t>Jefe / Coord. de Compras</t>
  </si>
  <si>
    <t>Analista de Compras / Comprador</t>
  </si>
  <si>
    <t>Gerente de Planta</t>
  </si>
  <si>
    <t>Gerente de Calidad</t>
  </si>
  <si>
    <t>Ingeniero de Calidad / Analista de Calidad</t>
  </si>
  <si>
    <t>Jefe / Coord. de Producción</t>
  </si>
  <si>
    <t>Operario de Producción</t>
  </si>
  <si>
    <t>Jefe / Coord. / Supervisor de Almacén</t>
  </si>
  <si>
    <t>Almacenista / Depositario</t>
  </si>
  <si>
    <t>Montacarguista / Operador Montacarga</t>
  </si>
  <si>
    <t>Asistente Administrativo SG</t>
  </si>
  <si>
    <t>Concepto</t>
  </si>
  <si>
    <t>Elementos de Pago</t>
  </si>
  <si>
    <t xml:space="preserve">Síguenos:
</t>
  </si>
  <si>
    <t>Síguenos:</t>
  </si>
  <si>
    <t>Somos una compañía joven, dinámica e innovadora, especializada en la asesoría, consultoría, desarrollo, implementación y puesta en marcha de proyectos relacionados con el corazón de las compañías, es decir, su “Capital Humano”. Atendemos a industrias de todos los sectores, públicos, privados y sin fines de lucro. Disponemos de un equipo interdisciplinario, capaz de detectar y entender las necesidades de nuestros clientes, con el fin de brindar soluciones integrales que permitan optimizar las estructuras y las operaciones de las compañías. Buscamos establecer relaciones de largo plazo con nuestros clientes, apoyándolos en el logro de sus objetivos, generando ideas innovadoras sobre la base de las mejores prácticas del mercado y análisis de entorno.
Nuestros especialistas-consultores tienen amplia experiencia en el diseño, desarrollo e implementación de soluciones en sector de: Retail, Banca y Seguros, Viajes y Turismo, Educación, Servicios Especializados, Industrias, Automotriz, Logística e Ingeniería.
Tenemos experiencia en la ejecución de proyectos para Venezuela, Costa Rica, Colombia y Ecuador.</t>
  </si>
  <si>
    <t>Gestión y administración de cálculo, retención y pago de contribuciones parafiscales ante Entes Gubernamentales, tales como: Seguro social, INCES, Ministerio Para el Poder Popular del trabajo y otros</t>
  </si>
  <si>
    <t>Análisis y recomendaciones sobre la base de los resultados de encuesta</t>
  </si>
  <si>
    <t>Gerente de Gestión Estratégica / Planificación Estratégica</t>
  </si>
  <si>
    <t>Oficial de Cumplimiento</t>
  </si>
  <si>
    <t>Minimo</t>
  </si>
  <si>
    <t>Maximo</t>
  </si>
  <si>
    <t>Promedio</t>
  </si>
  <si>
    <t>Operador de Carga de Datos</t>
  </si>
  <si>
    <t>Coordinador / Supervisor Organización y Metodos</t>
  </si>
  <si>
    <t>Analista de Organización y Metodos</t>
  </si>
  <si>
    <t>Coordinador / Supervisor de Flota</t>
  </si>
  <si>
    <t>Aprendiz INCES</t>
  </si>
  <si>
    <t>Gerente General de Finanzas / Director de Finanzas</t>
  </si>
  <si>
    <t>Gerente de Administración y Finanzas</t>
  </si>
  <si>
    <t>RESULTADOS 2DA ENS AVGH 2026</t>
  </si>
  <si>
    <t>SEPTIEMBRE 2026</t>
  </si>
  <si>
    <t>CLIENTE:</t>
  </si>
  <si>
    <t>Alimentos Alvarigua</t>
  </si>
  <si>
    <t>ACBL de Venezuela</t>
  </si>
  <si>
    <t>Grupo Profesional GPA</t>
  </si>
  <si>
    <t>Administradora Danoral</t>
  </si>
  <si>
    <t>Grupo SSL</t>
  </si>
  <si>
    <t>Agrinova</t>
  </si>
  <si>
    <t>Grupo Tatas</t>
  </si>
  <si>
    <t>Agropa</t>
  </si>
  <si>
    <t>Grupo Veiden</t>
  </si>
  <si>
    <t>Agroruedas Chakao</t>
  </si>
  <si>
    <t>HBO OLE Producciones</t>
  </si>
  <si>
    <t>Alfa Publicidad</t>
  </si>
  <si>
    <t>Hoet &amp; Partners</t>
  </si>
  <si>
    <t>Hospital de Clinicas Caracas</t>
  </si>
  <si>
    <t>Alimentos Fritz (Foods Fritz)</t>
  </si>
  <si>
    <t>Humanitas Administradora de Riesgos</t>
  </si>
  <si>
    <t>Alimentos Kiri (Inversiones Avícolas)</t>
  </si>
  <si>
    <t>Ikigai</t>
  </si>
  <si>
    <t>Amagi Services</t>
  </si>
  <si>
    <t>Industria de Abrasivos Venezolanos</t>
  </si>
  <si>
    <t>Apis Consultores</t>
  </si>
  <si>
    <t>Inquivosa</t>
  </si>
  <si>
    <t>Arepa Boleta</t>
  </si>
  <si>
    <t>Internacional de Desarrollo (La Granja)</t>
  </si>
  <si>
    <t>ASAP Venezuela</t>
  </si>
  <si>
    <t>Intezia</t>
  </si>
  <si>
    <t>Asociación Nacional de Cultivadores Agrícolas</t>
  </si>
  <si>
    <t>Inversiones Master 2021</t>
  </si>
  <si>
    <t>Atenas Grupo Consultor</t>
  </si>
  <si>
    <t>Isola Foods</t>
  </si>
  <si>
    <t>Automundial</t>
  </si>
  <si>
    <t>Laboratorios Brolab</t>
  </si>
  <si>
    <t>Bancamiga Banco Universal</t>
  </si>
  <si>
    <t>Lanta de Venezuela</t>
  </si>
  <si>
    <t>BanCaribe</t>
  </si>
  <si>
    <t>Manapro Consultores</t>
  </si>
  <si>
    <t>Banking Technologies Consulting</t>
  </si>
  <si>
    <t>MAPFRE</t>
  </si>
  <si>
    <t>Biopago</t>
  </si>
  <si>
    <t>Meditron</t>
  </si>
  <si>
    <t>BNC (Banco Nacional de Credito)</t>
  </si>
  <si>
    <t>MGL Global</t>
  </si>
  <si>
    <t>Bolivar Sports Club</t>
  </si>
  <si>
    <t>Motores Cabriales</t>
  </si>
  <si>
    <t>Calzado Sicura</t>
  </si>
  <si>
    <t>MSL Groupage</t>
  </si>
  <si>
    <t>Cebagro Grupo Empresarial</t>
  </si>
  <si>
    <t>Naturalyst</t>
  </si>
  <si>
    <t>Central La Pastora</t>
  </si>
  <si>
    <t>Neotecnologia</t>
  </si>
  <si>
    <t>Centro Medico San Francisco</t>
  </si>
  <si>
    <t>Oceano Pacifico Alimentos</t>
  </si>
  <si>
    <t>Chocolates St. Moritz</t>
  </si>
  <si>
    <t>Orinoquia Especialistas Asociados</t>
  </si>
  <si>
    <t>Cibol Distribuidora Bolivar</t>
  </si>
  <si>
    <t>Paramo</t>
  </si>
  <si>
    <t>Clinica Santa Sofia</t>
  </si>
  <si>
    <t>Pastas Sindoni</t>
  </si>
  <si>
    <t>Club La Lagunita</t>
  </si>
  <si>
    <t>Pasteleria Dolcissimo</t>
  </si>
  <si>
    <t>Club Puerto Azul</t>
  </si>
  <si>
    <t>Plumrose</t>
  </si>
  <si>
    <t>Comercializadora Cayo Sal</t>
  </si>
  <si>
    <t>Productos Bixa</t>
  </si>
  <si>
    <t>Conextuval</t>
  </si>
  <si>
    <t>Quantico Servicios de Asistencia</t>
  </si>
  <si>
    <t>Constructora CBA</t>
  </si>
  <si>
    <t>Química CMV</t>
  </si>
  <si>
    <t>Corporación Crea 21</t>
  </si>
  <si>
    <t>Remodelaciones Alka y Galería de Casa</t>
  </si>
  <si>
    <t>Corporación Intexus</t>
  </si>
  <si>
    <t>Representaciones Natick</t>
  </si>
  <si>
    <t>Corporación Matrix TV (Airtek)</t>
  </si>
  <si>
    <t>Restaurant Saint Onofre (Comercializadora Jay 26)</t>
  </si>
  <si>
    <t>Corporación Suiche 7B</t>
  </si>
  <si>
    <t>Reycore</t>
  </si>
  <si>
    <t>Corporación Tropical Cotoperi</t>
  </si>
  <si>
    <t>Reyes, Terán y Asociados</t>
  </si>
  <si>
    <t>Cosmetiques Laboratories Coher</t>
  </si>
  <si>
    <t>Ridery</t>
  </si>
  <si>
    <t>Del Arepero (Embutidos Zeus)</t>
  </si>
  <si>
    <t>Riese Industrial</t>
  </si>
  <si>
    <t>Detektor (VSR de Venezuela)</t>
  </si>
  <si>
    <t>Robin Agency</t>
  </si>
  <si>
    <t>Diario Panorama</t>
  </si>
  <si>
    <t>Rústicos Automundial</t>
  </si>
  <si>
    <t>Dieselval</t>
  </si>
  <si>
    <t>Safetyguard 0202</t>
  </si>
  <si>
    <t>Distribuciones Diprocher</t>
  </si>
  <si>
    <t>SE Soluciones Plus</t>
  </si>
  <si>
    <t>Distribuidora Petrolera Alvarez</t>
  </si>
  <si>
    <t>Seguros Capital</t>
  </si>
  <si>
    <t>Distribuidora Proagrin</t>
  </si>
  <si>
    <t>Seguros La Vitalicia</t>
  </si>
  <si>
    <t>Distriquim</t>
  </si>
  <si>
    <t>Servicio Pan Americano de Protección</t>
  </si>
  <si>
    <t>Drogueria del Oeste</t>
  </si>
  <si>
    <t>Servicios Industriales Quiserma</t>
  </si>
  <si>
    <t>Editorial Primavera</t>
  </si>
  <si>
    <t>Sin Limite Sport Center</t>
  </si>
  <si>
    <t>Emseragro</t>
  </si>
  <si>
    <t>Sociedad Civil Baker Mckenzie</t>
  </si>
  <si>
    <t>Encava</t>
  </si>
  <si>
    <t>Softech Consultores</t>
  </si>
  <si>
    <t>Soluciones Biométricas</t>
  </si>
  <si>
    <t>Envases Mundial</t>
  </si>
  <si>
    <t>Soluciones Gráficas (Editorial Arte)</t>
  </si>
  <si>
    <t>EY (Mendoza, Delgado, Labrador &amp; Asociados)</t>
  </si>
  <si>
    <t>Suministro Medicos Multimedica DMR</t>
  </si>
  <si>
    <t>Fabrica de Bolsas Plásticos Santa Cruz</t>
  </si>
  <si>
    <t>Supermercados Kalea</t>
  </si>
  <si>
    <t>Farmayuppi</t>
  </si>
  <si>
    <t>Telecomunicaciones G-Network</t>
  </si>
  <si>
    <t>Ferralca (Ferroaluminio)</t>
  </si>
  <si>
    <t>The Beauty Station (Loreal)</t>
  </si>
  <si>
    <t>Ferretería EPA</t>
  </si>
  <si>
    <t>The Language College</t>
  </si>
  <si>
    <t>Ferretotal Caracas</t>
  </si>
  <si>
    <t>Universidad Católica Andres Bello</t>
  </si>
  <si>
    <t>Fundación Santa Inés UCAB</t>
  </si>
  <si>
    <t>Venmaca</t>
  </si>
  <si>
    <t>Futura Retail</t>
  </si>
  <si>
    <t>Vepagos</t>
  </si>
  <si>
    <t>G-MAX Clinic</t>
  </si>
  <si>
    <t>Viva Supercentro</t>
  </si>
  <si>
    <t>Geek Me</t>
  </si>
  <si>
    <t>Zoriak Pharma</t>
  </si>
  <si>
    <t>Grupo Primeshoes</t>
  </si>
  <si>
    <t>Sueldo Base</t>
  </si>
  <si>
    <t>Bono Alimentación</t>
  </si>
  <si>
    <t>Otros pagos mensuales con impacto</t>
  </si>
  <si>
    <t>Otros pagos mensuales sin impacto</t>
  </si>
  <si>
    <t>Otros pagos otra frecuencia con impacto</t>
  </si>
  <si>
    <t>Otros pagos otra frecuencia sin impacto</t>
  </si>
  <si>
    <t>Variable por desempeño</t>
  </si>
  <si>
    <t>Variable por comisión</t>
  </si>
  <si>
    <t>OPERATIVO</t>
  </si>
  <si>
    <t>PROFESIONAL</t>
  </si>
  <si>
    <t>SUPERVISOR</t>
  </si>
  <si>
    <t>GERENCIA MEDIA</t>
  </si>
  <si>
    <t>GERENCIA ALTA</t>
  </si>
  <si>
    <t>EJECUTIVO</t>
  </si>
  <si>
    <t>Analista / Especialista en Seguridad y Salud Laboral</t>
  </si>
  <si>
    <t>Analista de Calidad de Servicio</t>
  </si>
  <si>
    <t>Analista de Costos</t>
  </si>
  <si>
    <t>Analista de Cumplimiento</t>
  </si>
  <si>
    <t>Analista de Inteligencia de Mercados</t>
  </si>
  <si>
    <t>Analista de PMO</t>
  </si>
  <si>
    <t>Analista de Trade Marketing</t>
  </si>
  <si>
    <t>Analista Integral (Suscripción / Reclamos)</t>
  </si>
  <si>
    <t>Asesor / Ejecutivo Comercial B2B (Venta Consultiva)</t>
  </si>
  <si>
    <t>Asistente / Auxiliar de Mantenimiento Industrial</t>
  </si>
  <si>
    <t>Bioanalista / Técnico de Laboratorio</t>
  </si>
  <si>
    <t>CEO</t>
  </si>
  <si>
    <t>Chofer Repartidor / Conductor de Ruta</t>
  </si>
  <si>
    <t>Conductor Ejecutivo</t>
  </si>
  <si>
    <t>Contralor General</t>
  </si>
  <si>
    <t>Coord. / Supervisor de Desarrollo</t>
  </si>
  <si>
    <t>Coordinador / Supervisor de Mercadeo</t>
  </si>
  <si>
    <t>Coordinador de Asuntos Legales</t>
  </si>
  <si>
    <t>Coordinador de Enfermería</t>
  </si>
  <si>
    <t>Coordinador de Proyectos</t>
  </si>
  <si>
    <t>Coordinador de Reclutamiento</t>
  </si>
  <si>
    <t>Coordinador de Seguridad y Salud Laboral</t>
  </si>
  <si>
    <t>Coordinador de Trade Marketing</t>
  </si>
  <si>
    <t>Desarrollador Back End</t>
  </si>
  <si>
    <t>Director / Gerente de Auditoría Interna</t>
  </si>
  <si>
    <t>Director de PMO</t>
  </si>
  <si>
    <t>Diseñador Gráfico / Creativo</t>
  </si>
  <si>
    <t>Ejecutivo / Agente de Atención al Cliente</t>
  </si>
  <si>
    <t>Ejecutivo de Inside Sales (Telefónica / Remota)</t>
  </si>
  <si>
    <t>Ejecutivo de Ventas B2C (Consumo Masivo / Terreno)</t>
  </si>
  <si>
    <t>Ejecutivo de Ventas B2C (Retail / Tienda)</t>
  </si>
  <si>
    <t>Enfermero(a)</t>
  </si>
  <si>
    <t>Especialista de Mejora Continua</t>
  </si>
  <si>
    <t>Especialista de Talent Acquisition (Adquisición de Talento)</t>
  </si>
  <si>
    <t>Especialista en Desarrollo</t>
  </si>
  <si>
    <t>Farmacéutico</t>
  </si>
  <si>
    <t>Gerente / Director de Seguridad Integral</t>
  </si>
  <si>
    <t>Gerente / Encargado de Tienda</t>
  </si>
  <si>
    <t>Gerente de Atención al Cliente</t>
  </si>
  <si>
    <t>Gerente de Capital Humano</t>
  </si>
  <si>
    <t>Gerente de Marketing Digital</t>
  </si>
  <si>
    <t>Gerente de Proyecto</t>
  </si>
  <si>
    <t>Gerente de Talent Acquisition (Adquisición de Talento)</t>
  </si>
  <si>
    <t>Gerente de Trade Marketing</t>
  </si>
  <si>
    <t>Gerente General / Director de Capital Humano</t>
  </si>
  <si>
    <t>Gerente General de Compras</t>
  </si>
  <si>
    <t>Gerente General de Mercadeo / Director de Mercadeo</t>
  </si>
  <si>
    <t>Gerente General de Operaciones (COO)</t>
  </si>
  <si>
    <t>Ingeniero de Procesos</t>
  </si>
  <si>
    <t>Jardinero</t>
  </si>
  <si>
    <t>Jefe / Coord. de Mantenimiento Industrial</t>
  </si>
  <si>
    <t>Jefe / Coordinador de Costos</t>
  </si>
  <si>
    <t>Jefe / Coordinador de Desarrollo</t>
  </si>
  <si>
    <t>Jefe de Centro de Distribución</t>
  </si>
  <si>
    <t>Jefe de Ciberseguridad</t>
  </si>
  <si>
    <t>Jefe de Seguridad Operativa</t>
  </si>
  <si>
    <t>Líder / Ejecutivo de Cuentas Estratégicas (KAM)</t>
  </si>
  <si>
    <t>Mensajero / Motorizado</t>
  </si>
  <si>
    <t>Mercaderista / Impulsador</t>
  </si>
  <si>
    <t>Oficiales de Seguridad / Vigilantes</t>
  </si>
  <si>
    <t>Operadores de Centro de Control</t>
  </si>
  <si>
    <t>Secretaria Ejecutiva Bilingüe</t>
  </si>
  <si>
    <t>Social Media Manager / Community Manager</t>
  </si>
  <si>
    <t>Supervisor de Atención al Cliente</t>
  </si>
  <si>
    <t>Supervisor de Seguridad Física y Patrimonial</t>
  </si>
  <si>
    <t>Técnico de Mantenimiento (Electricista, Plomero, Mecánico)</t>
  </si>
  <si>
    <t>Técnico de Mantenimiento de Equipos Industrial</t>
  </si>
  <si>
    <t>DISTRIBUCIÓN DE COMPENSACIÓN</t>
  </si>
  <si>
    <t>FRECUENCIA MENSUAL</t>
  </si>
  <si>
    <t>OTRA FRECUENCIA</t>
  </si>
  <si>
    <t>VARIABLE</t>
  </si>
  <si>
    <t>Cargos</t>
  </si>
  <si>
    <t>Unidad Funcional</t>
  </si>
  <si>
    <t>Compensación Integral Mensual (CIM)</t>
  </si>
  <si>
    <t>Administración y Finanzas</t>
  </si>
  <si>
    <t>Contabilidad y Costos</t>
  </si>
  <si>
    <t>Auditoría</t>
  </si>
  <si>
    <t>Capital Humano</t>
  </si>
  <si>
    <t>Comercial y Ventas</t>
  </si>
  <si>
    <t>Mercadeo y Estrategia de Marca</t>
  </si>
  <si>
    <t>Trade Marketing</t>
  </si>
  <si>
    <t>Marketing Digital &amp; Comunicaciones</t>
  </si>
  <si>
    <t>Operaciones y Producción</t>
  </si>
  <si>
    <t>Servicios Generales</t>
  </si>
  <si>
    <t>Tecnología / IT</t>
  </si>
  <si>
    <t>Dirección</t>
  </si>
  <si>
    <t>Legal</t>
  </si>
  <si>
    <t>Compras / Procura</t>
  </si>
  <si>
    <t>Seguridad Integral y SSLA</t>
  </si>
  <si>
    <t>Logística y Distribución</t>
  </si>
  <si>
    <t>Atención al Cliente / Customer Service</t>
  </si>
  <si>
    <t>Cumplimiento / Compliance</t>
  </si>
  <si>
    <t>Oficina de Proyectos</t>
  </si>
  <si>
    <t>SECTOR: Retail / Tiendas Físicas</t>
  </si>
  <si>
    <t>SECTOR: Seguros</t>
  </si>
  <si>
    <t>SECTOR: Healthcare / Salud</t>
  </si>
  <si>
    <t>P50 - TCR BCV-USD</t>
  </si>
  <si>
    <t>P50</t>
  </si>
  <si>
    <t>¿QUÉ ES LA TASA DE CONVERSIÓN DE REFERENCIA (TCR) Y POR QUÉ LA USAMOS?</t>
  </si>
  <si>
    <t>1. CONCEPTO</t>
  </si>
  <si>
    <t>La TCR estandariza los datos salariales para reflejar el poder adquisitivo real (Compensación Equivalente).</t>
  </si>
  <si>
    <t>2. EL PROBLEMA</t>
  </si>
  <si>
    <t>Distorsión del mercado causada por diferentes tasas de cambio (BCV-USD, BCV-EURO, Tasa Libre, Directo en Divisas).</t>
  </si>
  <si>
    <t>3. LA SOLUCIÓN</t>
  </si>
  <si>
    <t>Fórmulas: Si se paga en Bs: Monto Bs / TCR. Si se paga en Divisas: (Monto Divisas * Tasa Libre) / TCR.</t>
  </si>
  <si>
    <t>Monto Nominal</t>
  </si>
  <si>
    <t>Moneda de Pago</t>
  </si>
  <si>
    <t>Método de Pago</t>
  </si>
  <si>
    <t>Salario Base</t>
  </si>
  <si>
    <t>Bs.</t>
  </si>
  <si>
    <t>USD</t>
  </si>
  <si>
    <t>Bs. (Tasa BCV)</t>
  </si>
  <si>
    <t>Bono Compensatorio</t>
  </si>
  <si>
    <t>Divisas (Efectivo)</t>
  </si>
  <si>
    <t>TOTALES</t>
  </si>
  <si>
    <t>- Benchmarking real</t>
  </si>
  <si>
    <t>- Premisa Cero Desmejora</t>
  </si>
  <si>
    <t>- Transparencia</t>
  </si>
  <si>
    <t>4. APLICACIÓN EN PAQUETES MIXTOS (EJEMPLO REAL)</t>
  </si>
  <si>
    <t>Contexto: 
Tasa BCV-USD: 800
Tasa BCV-EURO: 900
Tasa Libre: 970</t>
  </si>
  <si>
    <t>Monto Equivalente
(BCV-USD)</t>
  </si>
  <si>
    <t>5. IMPACTO ESTRATÉGICO</t>
  </si>
  <si>
    <t>EXPLICACIÓN TCR</t>
  </si>
  <si>
    <t>Empresa</t>
  </si>
  <si>
    <t>Sector</t>
  </si>
  <si>
    <t>Tamaño</t>
  </si>
  <si>
    <t>Empresas</t>
  </si>
  <si>
    <t>Logística / Transporte</t>
  </si>
  <si>
    <t>Grande</t>
  </si>
  <si>
    <t>Comercio / Retail</t>
  </si>
  <si>
    <t>Pequeña</t>
  </si>
  <si>
    <t>Bienes Raíces</t>
  </si>
  <si>
    <t>Mediana</t>
  </si>
  <si>
    <t>Consumo Masivo</t>
  </si>
  <si>
    <t>Agropecuario</t>
  </si>
  <si>
    <t>Industrial / Manufactura</t>
  </si>
  <si>
    <t>Tecnología y Telecomunicaciones (IT &amp; Telecom)</t>
  </si>
  <si>
    <t>Farmacéutico / Salud</t>
  </si>
  <si>
    <t>Publicidad / Medios Digitales</t>
  </si>
  <si>
    <t>Servicios Profesionales</t>
  </si>
  <si>
    <t>Banca / Seguros</t>
  </si>
  <si>
    <t>Hotelería / Turismo / Viajes / Gastronomía</t>
  </si>
  <si>
    <t>Construcción / Ingeniería</t>
  </si>
  <si>
    <t>Fintech (Tecnología Financiera)</t>
  </si>
  <si>
    <t>Medios de Comunicación</t>
  </si>
  <si>
    <t>ONG y Asociaciones</t>
  </si>
  <si>
    <t>Servicios Industriales Especializados</t>
  </si>
  <si>
    <t>Educación</t>
  </si>
  <si>
    <t>Entretenimiento, Recreación y Deportes</t>
  </si>
  <si>
    <t>Servicios</t>
  </si>
  <si>
    <t>MONEDA DE CUENTA Y MONEDA DE PAGO POR ELEMENTO</t>
  </si>
  <si>
    <t>Mon. Cuenta</t>
  </si>
  <si>
    <t>Mon. Pago</t>
  </si>
  <si>
    <t>Bs</t>
  </si>
  <si>
    <t>Total: 128 empresas</t>
  </si>
  <si>
    <t>La data de compensación se muestra en los percentiles 90, 75, 50, 25 y 10 para cada elemento de pago de manera independiente, es decir, no existe una correlación entre los elementos de pagos usados en el estudio. En tal sentido, cuando usamos el valor máximo de pago en bolívares del mercado y usamos el valor máximo en dólares del mercado no significa que las empresas que pagan en el valor máximo en bolívares pagan el valor máximo en dólares.</t>
  </si>
  <si>
    <t xml:space="preserve">CONCEPTOS </t>
  </si>
  <si>
    <t>Métricas salariales:</t>
  </si>
  <si>
    <r>
      <t xml:space="preserve">Total Efectivo Mensual (TEM) 
</t>
    </r>
    <r>
      <rPr>
        <sz val="10"/>
        <color theme="1" tint="0.14999847407452621"/>
        <rFont val="Calibri"/>
        <family val="2"/>
      </rPr>
      <t>Refleja la liquidez real y directa que percibe el colaborador en un mes ordinario. Representa la suma de todas las remuneraciones y conceptos de pago (fijos y variables) que se cobran con una frecuencia estrictamente mensual. Este indicador es "limpio", por lo que no incluye provisiones, reservas ni las porciones (alícuotas) de los pasivos laborales o beneficios de ley, tales como utilidades, bono vacacional y prestaciones sociales.</t>
    </r>
  </si>
  <si>
    <r>
      <t xml:space="preserve">Total Efectivo Mensualizado (TEMz)
</t>
    </r>
    <r>
      <rPr>
        <sz val="10"/>
        <color theme="1" tint="0.14999847407452621"/>
        <rFont val="Calibri"/>
        <family val="2"/>
      </rPr>
      <t>Muestra el flujo de caja promedio del trabajador llevado a la escala de un mes estándar de 30 días. Este cálculo consolida todos los pagos mensuales más la proyección de aquellos ingresos con frecuencias distintas (bimestrales, trimestrales, bonos por desempeño anuales, etc.), sumándolos en un monto anual que luego se divide entre 12. Al igual que el TEM, excluye estrictamente el impacto de las alícuotas de los pasivos laborales. Es ideal para medir el ingreso real disponible del trabajador en promedio.</t>
    </r>
  </si>
  <si>
    <r>
      <t xml:space="preserve">Compensación Integral Mensualizada (CIM)
</t>
    </r>
    <r>
      <rPr>
        <sz val="10"/>
        <color theme="1" tint="0.14999847407452621"/>
        <rFont val="Calibri"/>
        <family val="2"/>
      </rPr>
      <t>Es el indicador del valor económico total del paquete retributivo expresado en fracciones mensuales. Integra el "Total Efectivo Mensualizado" y le suma el peso financiero (las alícuotas mensuales) de todos los pasivos laborales garantizados por ley o contrato, entiéndase: utilidades, bono vacacional y prestaciones sociales. Este cálculo permite a la empresa visualizar el impacto económico integral de la posición mes a mes, incluyendo las provisiones obligatorias.</t>
    </r>
  </si>
  <si>
    <r>
      <t xml:space="preserve">Paquete de Compensación Total Anual (PCTA)
</t>
    </r>
    <r>
      <rPr>
        <sz val="10"/>
        <color theme="1" tint="0.14999847407452621"/>
        <rFont val="Calibri"/>
        <family val="2"/>
      </rPr>
      <t>Representa el valor macroeconómico global del paquete del trabajador proyectado a un ejercicio fiscal completo (12 meses). Es la sumatoria absoluta y anualizada de todos los ingresos regulares, todos los pagos de frecuencia variable y el costo total de los pasivos laborales (utilidades, bono vacacional y prestaciones sociales). Es el indicador definitivo y más robusto para comparar la competitividad del puesto contra las curvas del mercado laboral general.</t>
    </r>
  </si>
  <si>
    <t>Descripción de percentiles:</t>
  </si>
  <si>
    <t>P90: El percentil 90 (también conocido como decil superior) es el límite por encima del cual se ubica el 10% de mejores prácticas salariales. En otras palabras, el 90% de las compañías participantes pagan menos que este nivel y el 10% pagan más.</t>
  </si>
  <si>
    <t>P75: El percentil 75 (también conocido como decil superior) es el límite por encima del cual se ubica el 25% de mejores prácticas salariales y por debajo del cual se ubica el 75% restante. En otras palabras, el 75% de las compañías participantes pagan menos que este nivel y el 25% pagan más.</t>
  </si>
  <si>
    <t>P50: El percentil 50 (también conocido como mediana) es la línea que divide la práctica en dos grupos iguales (50%). El 50% de las compañías pagan más y el otro 50% pagan menos.</t>
  </si>
  <si>
    <t>P25: El percentil 25 (también conocido como decil inferior) es el límite por encima del cual se ubica el 75% de mejores prácticas salariales y por debajo del cual se ubica el 25% restante. En otras palabras, el 25% de las empresas participantes pagan menos que este nivel y el 75% pagan más.</t>
  </si>
  <si>
    <t>P10: El percentil 10 (también conocido como decil inferior) es el límite por debajo del cual se ubica el 10% de prácticas más bajas. En otras palabras, el 10% de las compañías participantes pagan menos que este nivel y el 90% pagan más.</t>
  </si>
  <si>
    <t>Cantidad mínima de participantes para reportar percentiles</t>
  </si>
  <si>
    <t>Percentil 90: 12 participantes</t>
  </si>
  <si>
    <t>Percentil 75: 8 participantes</t>
  </si>
  <si>
    <t>Percentil 50 / Mediana / Promedio: 4 participantes</t>
  </si>
  <si>
    <t>Percentil 25: 8 participantes</t>
  </si>
  <si>
    <t>Percentil 10: 12 participantes</t>
  </si>
  <si>
    <t>METODOLOGÍA</t>
  </si>
  <si>
    <t>OCTUBRE 2026</t>
  </si>
  <si>
    <t>Es el indicador del valor económico total del paquete retributivo expresado en fracciones mensuales. Integra el "Total Efectivo Mensualizado" y le suma el peso financiero (las alícuotas mensuales) de todos los pasivos laborales garantizados por ley o contrato, entiéndase: utilidades, bono vacacional y prestaciones sociales. Este cálculo permite a la empresa visualizar el impacto económico integral de la posición mes a mes, incluyendo las provisiones obligatorias.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</si>
</sst>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Bs.D&quot;* #,##0.00_ ;_ &quot;Bs.D&quot;* \-#,##0.00_ ;_ &quot;Bs.D&quot;* &quot;-&quot;??_ ;_ @_ "/>
    <numFmt numFmtId="43" formatCode="_ * #,##0.00_ ;_ * \-#,##0.00_ ;_ * &quot;-&quot;??_ ;_ @_ "/>
    <numFmt numFmtId="164" formatCode="_-[$$-540A]* #,##0_ ;_-[$$-540A]* \-#,##0\ ;_-[$$-540A]* &quot;-&quot;_ ;_-@_ "/>
    <numFmt numFmtId="165" formatCode="_-[$$-540A]* #,##0.00_ ;_-[$$-540A]* \-#,##0.00\ ;_-[$$-540A]* &quot;-&quot;??_ ;_-@_ "/>
  </numFmts>
  <fonts count="34" x14ac:knownFonts="1">
    <font>
      <sz val="12"/>
      <color theme="1"/>
      <name val="Calibri"/>
      <family val="2"/>
      <scheme val="minor"/>
    </font>
    <font>
      <i/>
      <sz val="12"/>
      <color theme="1"/>
      <name val="Calibri"/>
      <family val="2"/>
      <scheme val="minor"/>
    </font>
    <font>
      <i/>
      <sz val="18"/>
      <color theme="1"/>
      <name val="Calibri"/>
      <family val="2"/>
      <scheme val="minor"/>
    </font>
    <font>
      <sz val="18"/>
      <color theme="1"/>
      <name val="Calibri"/>
      <family val="2"/>
      <scheme val="minor"/>
    </font>
    <font>
      <i/>
      <sz val="12"/>
      <color theme="1"/>
      <name val="Calibri"/>
      <family val="2"/>
    </font>
    <font>
      <i/>
      <sz val="12"/>
      <color theme="1" tint="0.249977111117893"/>
      <name val="Calibri"/>
      <family val="2"/>
      <scheme val="minor"/>
    </font>
    <font>
      <i/>
      <sz val="14"/>
      <color theme="1"/>
      <name val="Calibri"/>
      <family val="2"/>
      <scheme val="minor"/>
    </font>
    <font>
      <u/>
      <sz val="12"/>
      <color theme="10"/>
      <name val="Calibri"/>
      <family val="2"/>
      <scheme val="minor"/>
    </font>
    <font>
      <sz val="10"/>
      <name val="Arial"/>
      <family val="2"/>
    </font>
    <font>
      <sz val="10"/>
      <color rgb="FF000000"/>
      <name val="Arial"/>
      <family val="2"/>
    </font>
    <font>
      <b/>
      <i/>
      <sz val="16"/>
      <color theme="1"/>
      <name val="Calibri"/>
      <family val="2"/>
      <scheme val="minor"/>
    </font>
    <font>
      <sz val="12"/>
      <color rgb="FF000000"/>
      <name val="Calibri"/>
      <family val="2"/>
      <scheme val="minor"/>
    </font>
    <font>
      <i/>
      <sz val="16"/>
      <color theme="1"/>
      <name val="Calibri"/>
      <family val="2"/>
      <scheme val="minor"/>
    </font>
    <font>
      <sz val="11"/>
      <color rgb="FF000000"/>
      <name val="Calibri"/>
      <family val="2"/>
      <scheme val="minor"/>
    </font>
    <font>
      <i/>
      <sz val="12"/>
      <name val="Arial"/>
      <family val="2"/>
    </font>
    <font>
      <i/>
      <sz val="10"/>
      <name val="Arial"/>
      <family val="2"/>
    </font>
    <font>
      <b/>
      <i/>
      <sz val="18"/>
      <color theme="1"/>
      <name val="Calibri"/>
      <family val="2"/>
      <scheme val="minor"/>
    </font>
    <font>
      <sz val="12"/>
      <color theme="1"/>
      <name val="Calibri"/>
      <family val="2"/>
      <scheme val="minor"/>
    </font>
    <font>
      <sz val="16"/>
      <color theme="1"/>
      <name val="Calibri"/>
      <family val="2"/>
      <scheme val="minor"/>
    </font>
    <font>
      <i/>
      <sz val="16"/>
      <color theme="0"/>
      <name val="Calibri"/>
      <family val="2"/>
      <scheme val="minor"/>
    </font>
    <font>
      <i/>
      <sz val="12"/>
      <color theme="0"/>
      <name val="Calibri"/>
      <family val="2"/>
      <scheme val="minor"/>
    </font>
    <font>
      <i/>
      <sz val="12"/>
      <color theme="2" tint="-0.749992370372631"/>
      <name val="Calibri"/>
      <family val="2"/>
      <scheme val="minor"/>
    </font>
    <font>
      <i/>
      <sz val="14"/>
      <color theme="1" tint="0.14999847407452621"/>
      <name val="Calibri"/>
      <family val="2"/>
      <scheme val="minor"/>
    </font>
    <font>
      <sz val="12"/>
      <color theme="1" tint="0.14999847407452621"/>
      <name val="Calibri"/>
      <family val="2"/>
      <scheme val="minor"/>
    </font>
    <font>
      <b/>
      <i/>
      <sz val="12"/>
      <color theme="0"/>
      <name val="Calibri"/>
      <family val="2"/>
      <scheme val="minor"/>
    </font>
    <font>
      <sz val="12"/>
      <name val="Calibri"/>
      <family val="2"/>
      <scheme val="minor"/>
    </font>
    <font>
      <sz val="12"/>
      <color theme="0"/>
      <name val="Calibri"/>
      <family val="2"/>
      <scheme val="minor"/>
    </font>
    <font>
      <i/>
      <sz val="10"/>
      <name val="Calibri"/>
      <family val="2"/>
      <scheme val="minor"/>
    </font>
    <font>
      <b/>
      <sz val="12"/>
      <name val="Calibri"/>
      <family val="2"/>
      <scheme val="minor"/>
    </font>
    <font>
      <sz val="10"/>
      <color rgb="FF1A1B20"/>
      <name val="Calibri"/>
      <family val="2"/>
      <scheme val="minor"/>
    </font>
    <font>
      <b/>
      <sz val="10"/>
      <color rgb="FF1A1B20"/>
      <name val="Calibri"/>
      <family val="2"/>
      <scheme val="minor"/>
    </font>
    <font>
      <b/>
      <sz val="10"/>
      <color rgb="FFFFFFFF"/>
      <name val="Calibri"/>
      <family val="2"/>
      <scheme val="minor"/>
    </font>
    <font>
      <sz val="10"/>
      <color theme="1" tint="0.14999847407452621"/>
      <name val="Calibri"/>
      <family val="2"/>
    </font>
    <font>
      <b/>
      <sz val="10"/>
      <color theme="1" tint="0.14999847407452621"/>
      <name val="Calibri"/>
      <family val="2"/>
    </font>
  </fonts>
  <fills count="9">
    <fill>
      <patternFill patternType="none"/>
    </fill>
    <fill>
      <patternFill patternType="gray125"/>
    </fill>
    <fill>
      <patternFill patternType="solid">
        <fgColor theme="0" tint="-4.9989318521683403E-2"/>
        <bgColor indexed="64"/>
      </patternFill>
    </fill>
    <fill>
      <patternFill patternType="solid">
        <fgColor rgb="FFFFFFFF"/>
        <bgColor indexed="64"/>
      </patternFill>
    </fill>
    <fill>
      <patternFill patternType="solid">
        <fgColor rgb="FFEEF1F3"/>
        <bgColor indexed="64"/>
      </patternFill>
    </fill>
    <fill>
      <patternFill patternType="solid">
        <fgColor rgb="FF2C3D50"/>
        <bgColor indexed="64"/>
      </patternFill>
    </fill>
    <fill>
      <patternFill patternType="solid">
        <fgColor rgb="FFF9F9FF"/>
        <bgColor rgb="FFF9F9FF"/>
      </patternFill>
    </fill>
    <fill>
      <patternFill patternType="solid">
        <fgColor rgb="FFFFFFFF"/>
        <bgColor rgb="FFFFFFFF"/>
      </patternFill>
    </fill>
    <fill>
      <patternFill patternType="solid">
        <fgColor rgb="FF2C3D50"/>
        <bgColor rgb="FF425D90"/>
      </patternFill>
    </fill>
  </fills>
  <borders count="26">
    <border>
      <left/>
      <right/>
      <top/>
      <bottom/>
      <diagonal/>
    </border>
    <border>
      <left/>
      <right/>
      <top/>
      <bottom style="double">
        <color indexed="64"/>
      </bottom>
      <diagonal/>
    </border>
    <border>
      <left/>
      <right/>
      <top/>
      <bottom style="medium">
        <color indexed="64"/>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right>
      <top/>
      <bottom style="double">
        <color indexed="64"/>
      </bottom>
      <diagonal/>
    </border>
    <border>
      <left style="thin">
        <color theme="0"/>
      </left>
      <right/>
      <top/>
      <bottom style="double">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double">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rgb="FF73777E"/>
      </left>
      <right style="thin">
        <color rgb="FF73777E"/>
      </right>
      <top style="thin">
        <color rgb="FF73777E"/>
      </top>
      <bottom style="thin">
        <color rgb="FF73777E"/>
      </bottom>
      <diagonal/>
    </border>
    <border>
      <left/>
      <right/>
      <top/>
      <bottom style="double">
        <color theme="0"/>
      </bottom>
      <diagonal/>
    </border>
    <border>
      <left style="thin">
        <color theme="0"/>
      </left>
      <right/>
      <top/>
      <bottom style="double">
        <color theme="0"/>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double">
        <color theme="0" tint="-0.499984740745262"/>
      </top>
      <bottom style="thin">
        <color theme="0" tint="-0.249977111117893"/>
      </bottom>
      <diagonal/>
    </border>
    <border>
      <left/>
      <right style="thin">
        <color theme="0" tint="-0.249977111117893"/>
      </right>
      <top style="double">
        <color theme="0" tint="-0.499984740745262"/>
      </top>
      <bottom style="thin">
        <color theme="0" tint="-0.249977111117893"/>
      </bottom>
      <diagonal/>
    </border>
    <border>
      <left/>
      <right/>
      <top style="double">
        <color theme="0" tint="-0.499984740745262"/>
      </top>
      <bottom/>
      <diagonal/>
    </border>
    <border>
      <left/>
      <right/>
      <top style="double">
        <color theme="0" tint="-0.499984740745262"/>
      </top>
      <bottom style="thin">
        <color theme="0" tint="-0.499984740745262"/>
      </bottom>
      <diagonal/>
    </border>
    <border>
      <left/>
      <right/>
      <top style="double">
        <color indexed="64"/>
      </top>
      <bottom style="double">
        <color theme="0" tint="-0.499984740745262"/>
      </bottom>
      <diagonal/>
    </border>
    <border>
      <left style="thin">
        <color theme="0" tint="-0.249977111117893"/>
      </left>
      <right/>
      <top/>
      <bottom style="thin">
        <color theme="0" tint="-0.249977111117893"/>
      </bottom>
      <diagonal/>
    </border>
    <border>
      <left style="double">
        <color theme="0" tint="-0.249977111117893"/>
      </left>
      <right style="thin">
        <color theme="0" tint="-0.249977111117893"/>
      </right>
      <top/>
      <bottom style="thin">
        <color theme="0" tint="-0.249977111117893"/>
      </bottom>
      <diagonal/>
    </border>
    <border>
      <left style="double">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int="-0.499984740745262"/>
      </top>
      <bottom style="thin">
        <color theme="0" tint="-0.249977111117893"/>
      </bottom>
      <diagonal/>
    </border>
  </borders>
  <cellStyleXfs count="6">
    <xf numFmtId="0" fontId="0" fillId="0" borderId="0"/>
    <xf numFmtId="0" fontId="7" fillId="0" borderId="0" applyNumberFormat="0" applyFill="0" applyBorder="0" applyAlignment="0" applyProtection="0"/>
    <xf numFmtId="0" fontId="8" fillId="0" borderId="0"/>
    <xf numFmtId="0" fontId="9" fillId="0" borderId="0"/>
    <xf numFmtId="9" fontId="17" fillId="0" borderId="0" applyFont="0" applyFill="0" applyBorder="0" applyAlignment="0" applyProtection="0"/>
    <xf numFmtId="43" fontId="17" fillId="0" borderId="0" applyFont="0" applyFill="0" applyBorder="0" applyAlignment="0" applyProtection="0"/>
  </cellStyleXfs>
  <cellXfs count="157">
    <xf numFmtId="0" fontId="0" fillId="0" borderId="0" xfId="0"/>
    <xf numFmtId="0" fontId="0" fillId="0" borderId="0" xfId="0" applyProtection="1">
      <protection hidden="1"/>
    </xf>
    <xf numFmtId="0" fontId="3" fillId="0" borderId="0" xfId="0" applyFont="1" applyProtection="1">
      <protection hidden="1"/>
    </xf>
    <xf numFmtId="0" fontId="4" fillId="0" borderId="0" xfId="0" applyFont="1" applyAlignment="1" applyProtection="1">
      <alignment horizontal="center"/>
      <protection hidden="1"/>
    </xf>
    <xf numFmtId="49" fontId="0" fillId="0" borderId="0" xfId="0" applyNumberFormat="1" applyProtection="1">
      <protection hidden="1"/>
    </xf>
    <xf numFmtId="49" fontId="0" fillId="0" borderId="0" xfId="0" applyNumberFormat="1" applyAlignment="1" applyProtection="1">
      <alignment horizontal="left"/>
      <protection hidden="1"/>
    </xf>
    <xf numFmtId="49" fontId="0" fillId="0" borderId="0" xfId="0" applyNumberFormat="1" applyAlignment="1" applyProtection="1">
      <alignment vertical="center"/>
      <protection hidden="1"/>
    </xf>
    <xf numFmtId="0" fontId="0" fillId="0" borderId="0" xfId="0" applyAlignment="1" applyProtection="1">
      <alignment vertical="center"/>
      <protection hidden="1"/>
    </xf>
    <xf numFmtId="0" fontId="0" fillId="0" borderId="0" xfId="0" applyAlignment="1" applyProtection="1">
      <alignment horizontal="center"/>
      <protection hidden="1"/>
    </xf>
    <xf numFmtId="49" fontId="0" fillId="0" borderId="0" xfId="0" applyNumberFormat="1" applyAlignment="1" applyProtection="1">
      <alignment horizontal="left" vertical="center"/>
      <protection hidden="1"/>
    </xf>
    <xf numFmtId="0" fontId="0" fillId="0" borderId="0" xfId="0" applyAlignment="1" applyProtection="1">
      <alignment horizontal="left"/>
      <protection hidden="1"/>
    </xf>
    <xf numFmtId="0" fontId="0" fillId="0" borderId="0" xfId="0" applyAlignment="1" applyProtection="1">
      <alignment horizontal="right" vertical="center"/>
      <protection hidden="1"/>
    </xf>
    <xf numFmtId="0" fontId="2" fillId="0" borderId="0" xfId="0" applyFont="1" applyAlignment="1" applyProtection="1">
      <alignment horizontal="right" vertical="center" wrapText="1"/>
      <protection hidden="1"/>
    </xf>
    <xf numFmtId="0" fontId="2" fillId="0" borderId="0" xfId="0" applyFont="1" applyAlignment="1" applyProtection="1">
      <alignment vertical="center" wrapText="1"/>
      <protection hidden="1"/>
    </xf>
    <xf numFmtId="0" fontId="2" fillId="0" borderId="0" xfId="0" applyFont="1" applyAlignment="1" applyProtection="1">
      <alignment vertical="center"/>
      <protection hidden="1"/>
    </xf>
    <xf numFmtId="0" fontId="6" fillId="0" borderId="0" xfId="0" applyFont="1" applyAlignment="1" applyProtection="1">
      <alignment horizontal="right" vertical="center"/>
      <protection hidden="1"/>
    </xf>
    <xf numFmtId="0" fontId="11" fillId="0" borderId="0" xfId="0" applyFont="1" applyAlignment="1">
      <alignment horizontal="center" vertical="center"/>
    </xf>
    <xf numFmtId="0" fontId="0" fillId="0" borderId="0" xfId="0" applyAlignment="1">
      <alignment vertical="center"/>
    </xf>
    <xf numFmtId="0" fontId="0" fillId="0" borderId="0" xfId="0" applyAlignment="1" applyProtection="1">
      <alignment horizontal="center" vertical="center"/>
      <protection hidden="1"/>
    </xf>
    <xf numFmtId="0" fontId="13" fillId="0" borderId="0" xfId="0" applyFont="1" applyAlignment="1">
      <alignment vertical="center"/>
    </xf>
    <xf numFmtId="0" fontId="8" fillId="0" borderId="0" xfId="0" applyFont="1"/>
    <xf numFmtId="49" fontId="0" fillId="0" borderId="0" xfId="0" applyNumberFormat="1" applyAlignment="1" applyProtection="1">
      <alignment wrapText="1"/>
      <protection hidden="1"/>
    </xf>
    <xf numFmtId="49" fontId="0" fillId="0" borderId="0" xfId="0" applyNumberFormat="1" applyAlignment="1" applyProtection="1">
      <alignment vertical="center" wrapText="1"/>
      <protection hidden="1"/>
    </xf>
    <xf numFmtId="49" fontId="14" fillId="0" borderId="0" xfId="0" applyNumberFormat="1" applyFont="1" applyAlignment="1" applyProtection="1">
      <alignment horizontal="left" vertical="center" wrapText="1"/>
      <protection hidden="1"/>
    </xf>
    <xf numFmtId="0" fontId="5" fillId="0" borderId="0" xfId="0" applyFont="1" applyAlignment="1" applyProtection="1">
      <alignment horizontal="left"/>
      <protection hidden="1"/>
    </xf>
    <xf numFmtId="49" fontId="2" fillId="0" borderId="0" xfId="0" applyNumberFormat="1" applyFont="1" applyAlignment="1" applyProtection="1">
      <alignment vertical="top" wrapText="1"/>
      <protection hidden="1"/>
    </xf>
    <xf numFmtId="0" fontId="0" fillId="0" borderId="2" xfId="0" applyBorder="1" applyProtection="1">
      <protection hidden="1"/>
    </xf>
    <xf numFmtId="0" fontId="16" fillId="0" borderId="0" xfId="0" applyFont="1" applyAlignment="1" applyProtection="1">
      <alignment vertical="center"/>
      <protection hidden="1"/>
    </xf>
    <xf numFmtId="0" fontId="6" fillId="0" borderId="0" xfId="0" applyFont="1" applyAlignment="1" applyProtection="1">
      <alignment horizontal="left" vertical="center" wrapText="1"/>
      <protection hidden="1"/>
    </xf>
    <xf numFmtId="0" fontId="16" fillId="0" borderId="0" xfId="0" applyFont="1" applyAlignment="1" applyProtection="1">
      <alignment horizontal="center" vertical="center"/>
      <protection hidden="1"/>
    </xf>
    <xf numFmtId="0" fontId="5" fillId="0" borderId="0" xfId="0" applyFont="1" applyProtection="1">
      <protection hidden="1"/>
    </xf>
    <xf numFmtId="49" fontId="15" fillId="0" borderId="0" xfId="0" applyNumberFormat="1" applyFont="1" applyAlignment="1" applyProtection="1">
      <alignment vertical="center" wrapText="1"/>
      <protection hidden="1"/>
    </xf>
    <xf numFmtId="0" fontId="1" fillId="0" borderId="0" xfId="0" applyFont="1" applyAlignment="1" applyProtection="1">
      <alignment vertical="center" wrapText="1"/>
      <protection hidden="1"/>
    </xf>
    <xf numFmtId="0" fontId="6" fillId="0" borderId="0" xfId="0" applyFont="1" applyAlignment="1" applyProtection="1">
      <alignment vertical="center" wrapText="1"/>
      <protection hidden="1"/>
    </xf>
    <xf numFmtId="0" fontId="2" fillId="0" borderId="0" xfId="0" applyFont="1" applyAlignment="1" applyProtection="1">
      <alignment horizontal="right" vertical="top" wrapText="1"/>
      <protection hidden="1"/>
    </xf>
    <xf numFmtId="0" fontId="1" fillId="0" borderId="0" xfId="0" applyFont="1" applyAlignment="1" applyProtection="1">
      <alignment vertical="center"/>
      <protection hidden="1"/>
    </xf>
    <xf numFmtId="0" fontId="12" fillId="0" borderId="0" xfId="0" applyFont="1" applyAlignment="1" applyProtection="1">
      <alignment horizontal="left"/>
      <protection hidden="1"/>
    </xf>
    <xf numFmtId="0" fontId="18" fillId="0" borderId="0" xfId="0" applyFont="1" applyProtection="1">
      <protection hidden="1"/>
    </xf>
    <xf numFmtId="49" fontId="12" fillId="0" borderId="0" xfId="0" applyNumberFormat="1" applyFont="1" applyProtection="1">
      <protection hidden="1"/>
    </xf>
    <xf numFmtId="9" fontId="21" fillId="2" borderId="3" xfId="4" applyFont="1" applyFill="1" applyBorder="1" applyAlignment="1" applyProtection="1">
      <alignment horizontal="center" vertical="center"/>
      <protection hidden="1"/>
    </xf>
    <xf numFmtId="9" fontId="21" fillId="2" borderId="4" xfId="4" applyFont="1" applyFill="1" applyBorder="1" applyAlignment="1" applyProtection="1">
      <alignment horizontal="center" vertical="center"/>
      <protection hidden="1"/>
    </xf>
    <xf numFmtId="43" fontId="0" fillId="0" borderId="0" xfId="5" applyFont="1" applyAlignment="1" applyProtection="1">
      <alignment vertical="center"/>
      <protection hidden="1"/>
    </xf>
    <xf numFmtId="0" fontId="1" fillId="0" borderId="0" xfId="0" applyFont="1" applyAlignment="1" applyProtection="1">
      <alignment horizontal="right" vertical="center" wrapText="1"/>
      <protection hidden="1"/>
    </xf>
    <xf numFmtId="49" fontId="15" fillId="0" borderId="0" xfId="0" applyNumberFormat="1" applyFont="1" applyAlignment="1" applyProtection="1">
      <alignment horizontal="left" vertical="center" wrapText="1"/>
      <protection hidden="1"/>
    </xf>
    <xf numFmtId="0" fontId="20" fillId="0" borderId="0" xfId="0" applyFont="1" applyAlignment="1" applyProtection="1">
      <alignment vertical="center" wrapText="1"/>
      <protection hidden="1"/>
    </xf>
    <xf numFmtId="0" fontId="1" fillId="0" borderId="7" xfId="0" applyFont="1" applyBorder="1" applyAlignment="1" applyProtection="1">
      <alignment horizontal="center" vertical="center"/>
      <protection hidden="1"/>
    </xf>
    <xf numFmtId="0" fontId="23" fillId="0" borderId="7" xfId="0" applyFont="1" applyBorder="1" applyAlignment="1">
      <alignment horizontal="center" vertical="center"/>
    </xf>
    <xf numFmtId="0" fontId="1" fillId="4" borderId="9" xfId="0" applyFont="1" applyFill="1" applyBorder="1" applyAlignment="1" applyProtection="1">
      <alignment horizontal="center" vertical="center"/>
      <protection hidden="1"/>
    </xf>
    <xf numFmtId="0" fontId="23" fillId="4" borderId="9" xfId="0" applyFont="1" applyFill="1" applyBorder="1" applyAlignment="1">
      <alignment horizontal="center" vertical="center"/>
    </xf>
    <xf numFmtId="0" fontId="1" fillId="4" borderId="7" xfId="0" applyFont="1" applyFill="1" applyBorder="1" applyAlignment="1" applyProtection="1">
      <alignment horizontal="center" vertical="center"/>
      <protection hidden="1"/>
    </xf>
    <xf numFmtId="0" fontId="23" fillId="4" borderId="7" xfId="0" applyFont="1" applyFill="1" applyBorder="1" applyAlignment="1">
      <alignment horizontal="center" vertical="center"/>
    </xf>
    <xf numFmtId="0" fontId="1" fillId="4" borderId="9" xfId="0" applyFont="1" applyFill="1" applyBorder="1" applyAlignment="1">
      <alignment horizontal="center" vertical="center"/>
    </xf>
    <xf numFmtId="0" fontId="1" fillId="0" borderId="7" xfId="0" applyFont="1" applyBorder="1" applyAlignment="1">
      <alignment horizontal="center" vertical="center"/>
    </xf>
    <xf numFmtId="0" fontId="1" fillId="4" borderId="7" xfId="0" applyFont="1" applyFill="1" applyBorder="1" applyAlignment="1">
      <alignment horizontal="center" vertical="center"/>
    </xf>
    <xf numFmtId="49" fontId="2" fillId="0" borderId="0" xfId="0" applyNumberFormat="1" applyFont="1" applyAlignment="1" applyProtection="1">
      <alignment vertical="center"/>
      <protection hidden="1"/>
    </xf>
    <xf numFmtId="0" fontId="24" fillId="5" borderId="8" xfId="0" applyFont="1" applyFill="1" applyBorder="1" applyAlignment="1">
      <alignment horizontal="center" vertical="center"/>
    </xf>
    <xf numFmtId="0" fontId="25" fillId="0" borderId="0" xfId="0" applyFont="1"/>
    <xf numFmtId="0" fontId="26" fillId="5" borderId="11" xfId="0" applyFont="1" applyFill="1" applyBorder="1"/>
    <xf numFmtId="0" fontId="26" fillId="5" borderId="12" xfId="0" applyFont="1" applyFill="1" applyBorder="1"/>
    <xf numFmtId="0" fontId="26" fillId="0" borderId="0" xfId="0" applyFont="1"/>
    <xf numFmtId="0" fontId="26" fillId="0" borderId="0" xfId="0" applyFont="1" applyProtection="1">
      <protection hidden="1"/>
    </xf>
    <xf numFmtId="9" fontId="26" fillId="0" borderId="0" xfId="4" applyFont="1"/>
    <xf numFmtId="9" fontId="26" fillId="0" borderId="0" xfId="4" applyFont="1" applyProtection="1">
      <protection hidden="1"/>
    </xf>
    <xf numFmtId="0" fontId="21" fillId="3" borderId="8" xfId="0" applyFont="1" applyFill="1" applyBorder="1" applyAlignment="1" applyProtection="1">
      <alignment horizontal="left" vertical="center" wrapText="1"/>
      <protection hidden="1"/>
    </xf>
    <xf numFmtId="9" fontId="21" fillId="0" borderId="3" xfId="4" applyFont="1" applyFill="1" applyBorder="1" applyAlignment="1" applyProtection="1">
      <alignment horizontal="right" vertical="center"/>
      <protection hidden="1"/>
    </xf>
    <xf numFmtId="0" fontId="0" fillId="0" borderId="8" xfId="0" applyBorder="1" applyAlignment="1" applyProtection="1">
      <alignment horizontal="center" vertical="center"/>
      <protection hidden="1"/>
    </xf>
    <xf numFmtId="49" fontId="27" fillId="0" borderId="0" xfId="0" applyNumberFormat="1" applyFont="1" applyAlignment="1" applyProtection="1">
      <alignment vertical="center" wrapText="1"/>
      <protection hidden="1"/>
    </xf>
    <xf numFmtId="0" fontId="28" fillId="0" borderId="0" xfId="0" applyFont="1" applyAlignment="1">
      <alignment vertical="center"/>
    </xf>
    <xf numFmtId="0" fontId="29" fillId="7" borderId="0" xfId="0" applyFont="1" applyFill="1" applyAlignment="1">
      <alignment vertical="top"/>
    </xf>
    <xf numFmtId="0" fontId="30" fillId="7" borderId="0" xfId="0" applyFont="1" applyFill="1" applyAlignment="1">
      <alignment vertical="top" wrapText="1"/>
    </xf>
    <xf numFmtId="0" fontId="30" fillId="7" borderId="0" xfId="0" applyFont="1" applyFill="1" applyAlignment="1">
      <alignment vertical="top"/>
    </xf>
    <xf numFmtId="0" fontId="31" fillId="8" borderId="10" xfId="0" applyFont="1" applyFill="1" applyBorder="1" applyAlignment="1">
      <alignment horizontal="center" vertical="center"/>
    </xf>
    <xf numFmtId="0" fontId="31" fillId="8" borderId="10" xfId="0" applyFont="1" applyFill="1" applyBorder="1" applyAlignment="1">
      <alignment horizontal="center" vertical="center" wrapText="1"/>
    </xf>
    <xf numFmtId="0" fontId="29" fillId="6" borderId="10" xfId="0" applyFont="1" applyFill="1" applyBorder="1" applyAlignment="1">
      <alignment horizontal="center" vertical="center"/>
    </xf>
    <xf numFmtId="44" fontId="29" fillId="6" borderId="10" xfId="0" applyNumberFormat="1" applyFont="1" applyFill="1" applyBorder="1" applyAlignment="1">
      <alignment horizontal="center" vertical="center"/>
    </xf>
    <xf numFmtId="165" fontId="29" fillId="6" borderId="10" xfId="0" applyNumberFormat="1" applyFont="1" applyFill="1" applyBorder="1" applyAlignment="1">
      <alignment horizontal="center" vertical="center"/>
    </xf>
    <xf numFmtId="0" fontId="29" fillId="7" borderId="10" xfId="0" applyFont="1" applyFill="1" applyBorder="1" applyAlignment="1">
      <alignment horizontal="center" vertical="center"/>
    </xf>
    <xf numFmtId="164" fontId="29" fillId="7" borderId="10" xfId="0" applyNumberFormat="1" applyFont="1" applyFill="1" applyBorder="1" applyAlignment="1">
      <alignment horizontal="center" vertical="center"/>
    </xf>
    <xf numFmtId="165" fontId="29" fillId="7" borderId="10" xfId="0" applyNumberFormat="1" applyFont="1" applyFill="1" applyBorder="1" applyAlignment="1">
      <alignment horizontal="center" vertical="center"/>
    </xf>
    <xf numFmtId="164" fontId="29" fillId="6" borderId="10" xfId="0" applyNumberFormat="1" applyFont="1" applyFill="1" applyBorder="1" applyAlignment="1">
      <alignment horizontal="center" vertical="center"/>
    </xf>
    <xf numFmtId="0" fontId="30" fillId="7" borderId="10" xfId="0" applyFont="1" applyFill="1" applyBorder="1" applyAlignment="1">
      <alignment horizontal="center" vertical="center"/>
    </xf>
    <xf numFmtId="165" fontId="30" fillId="7" borderId="10" xfId="0" applyNumberFormat="1" applyFont="1" applyFill="1" applyBorder="1" applyAlignment="1">
      <alignment horizontal="center" vertical="center"/>
    </xf>
    <xf numFmtId="0" fontId="21" fillId="3" borderId="0" xfId="0" applyFont="1" applyFill="1" applyAlignment="1" applyProtection="1">
      <alignment horizontal="center" vertical="center" wrapText="1"/>
      <protection hidden="1"/>
    </xf>
    <xf numFmtId="9" fontId="21" fillId="2" borderId="13" xfId="4" applyFont="1" applyFill="1" applyBorder="1" applyAlignment="1" applyProtection="1">
      <alignment horizontal="center" vertical="center"/>
      <protection hidden="1"/>
    </xf>
    <xf numFmtId="9" fontId="21" fillId="2" borderId="21" xfId="4" applyFont="1" applyFill="1" applyBorder="1" applyAlignment="1" applyProtection="1">
      <alignment horizontal="center" vertical="center"/>
      <protection hidden="1"/>
    </xf>
    <xf numFmtId="9" fontId="21" fillId="2" borderId="22" xfId="4" applyFont="1" applyFill="1" applyBorder="1" applyAlignment="1" applyProtection="1">
      <alignment horizontal="center" vertical="center"/>
      <protection hidden="1"/>
    </xf>
    <xf numFmtId="9" fontId="21" fillId="0" borderId="4" xfId="4" applyFont="1" applyFill="1" applyBorder="1" applyAlignment="1" applyProtection="1">
      <alignment horizontal="right" vertical="center"/>
      <protection hidden="1"/>
    </xf>
    <xf numFmtId="9" fontId="21" fillId="2" borderId="23" xfId="4" applyFont="1" applyFill="1" applyBorder="1" applyAlignment="1" applyProtection="1">
      <alignment horizontal="center" vertical="center"/>
      <protection hidden="1"/>
    </xf>
    <xf numFmtId="9" fontId="21" fillId="0" borderId="4" xfId="4" applyFont="1" applyFill="1" applyBorder="1" applyAlignment="1" applyProtection="1">
      <alignment horizontal="center" vertical="center"/>
      <protection hidden="1"/>
    </xf>
    <xf numFmtId="9" fontId="21" fillId="0" borderId="13" xfId="4" applyFont="1" applyFill="1" applyBorder="1" applyAlignment="1" applyProtection="1">
      <alignment horizontal="center" vertical="center"/>
      <protection hidden="1"/>
    </xf>
    <xf numFmtId="9" fontId="21" fillId="0" borderId="23" xfId="4" applyFont="1" applyFill="1" applyBorder="1" applyAlignment="1" applyProtection="1">
      <alignment horizontal="center" vertical="center"/>
      <protection hidden="1"/>
    </xf>
    <xf numFmtId="9" fontId="21" fillId="0" borderId="3" xfId="4" applyFont="1" applyFill="1" applyBorder="1" applyAlignment="1" applyProtection="1">
      <alignment horizontal="center" vertical="center"/>
      <protection hidden="1"/>
    </xf>
    <xf numFmtId="9" fontId="21" fillId="0" borderId="21" xfId="4" applyFont="1" applyFill="1" applyBorder="1" applyAlignment="1" applyProtection="1">
      <alignment horizontal="center" vertical="center"/>
      <protection hidden="1"/>
    </xf>
    <xf numFmtId="9" fontId="21" fillId="0" borderId="22" xfId="4" applyFont="1" applyFill="1" applyBorder="1" applyAlignment="1" applyProtection="1">
      <alignment horizontal="center" vertical="center"/>
      <protection hidden="1"/>
    </xf>
    <xf numFmtId="0" fontId="21" fillId="3" borderId="25" xfId="0" applyFont="1" applyFill="1" applyBorder="1" applyAlignment="1" applyProtection="1">
      <alignment horizontal="center" vertical="center" wrapText="1"/>
      <protection hidden="1"/>
    </xf>
    <xf numFmtId="164" fontId="25" fillId="4" borderId="9" xfId="0" applyNumberFormat="1" applyFont="1" applyFill="1" applyBorder="1" applyAlignment="1">
      <alignment horizontal="center" vertical="center"/>
    </xf>
    <xf numFmtId="164" fontId="25" fillId="0" borderId="7" xfId="0" applyNumberFormat="1" applyFont="1" applyBorder="1" applyAlignment="1">
      <alignment horizontal="center" vertical="center"/>
    </xf>
    <xf numFmtId="164" fontId="25" fillId="4" borderId="7" xfId="0" applyNumberFormat="1" applyFont="1" applyFill="1" applyBorder="1" applyAlignment="1">
      <alignment horizontal="center" vertical="center"/>
    </xf>
    <xf numFmtId="49" fontId="32" fillId="0" borderId="0" xfId="0" applyNumberFormat="1" applyFont="1" applyAlignment="1" applyProtection="1">
      <alignment vertical="top"/>
      <protection hidden="1"/>
    </xf>
    <xf numFmtId="49" fontId="32" fillId="0" borderId="0" xfId="0" applyNumberFormat="1" applyFont="1" applyProtection="1">
      <protection hidden="1"/>
    </xf>
    <xf numFmtId="49" fontId="32" fillId="0" borderId="0" xfId="0" applyNumberFormat="1" applyFont="1" applyAlignment="1" applyProtection="1">
      <alignment horizontal="center"/>
      <protection hidden="1"/>
    </xf>
    <xf numFmtId="0" fontId="32" fillId="0" borderId="0" xfId="0" applyFont="1" applyAlignment="1" applyProtection="1">
      <alignment vertical="center"/>
      <protection hidden="1"/>
    </xf>
    <xf numFmtId="49" fontId="32" fillId="0" borderId="0" xfId="0" applyNumberFormat="1" applyFont="1" applyAlignment="1" applyProtection="1">
      <alignment vertical="center" wrapText="1"/>
      <protection hidden="1"/>
    </xf>
    <xf numFmtId="0" fontId="32" fillId="0" borderId="0" xfId="0" applyFont="1" applyProtection="1">
      <protection hidden="1"/>
    </xf>
    <xf numFmtId="49" fontId="32" fillId="0" borderId="0" xfId="0" applyNumberFormat="1" applyFont="1" applyAlignment="1" applyProtection="1">
      <alignment vertical="center"/>
      <protection hidden="1"/>
    </xf>
    <xf numFmtId="49" fontId="32" fillId="0" borderId="0" xfId="0" applyNumberFormat="1" applyFont="1" applyAlignment="1" applyProtection="1">
      <alignment horizontal="left" vertical="top"/>
      <protection hidden="1"/>
    </xf>
    <xf numFmtId="49" fontId="32" fillId="0" borderId="0" xfId="0" applyNumberFormat="1" applyFont="1" applyAlignment="1" applyProtection="1">
      <alignment vertical="center" wrapText="1" readingOrder="1"/>
      <protection hidden="1"/>
    </xf>
    <xf numFmtId="49" fontId="33" fillId="0" borderId="0" xfId="0" applyNumberFormat="1" applyFont="1" applyAlignment="1" applyProtection="1">
      <alignment horizontal="left" wrapText="1" readingOrder="1"/>
      <protection hidden="1"/>
    </xf>
    <xf numFmtId="49" fontId="32" fillId="0" borderId="0" xfId="0" applyNumberFormat="1" applyFont="1" applyAlignment="1" applyProtection="1">
      <alignment vertical="top" wrapText="1" readingOrder="1"/>
      <protection hidden="1"/>
    </xf>
    <xf numFmtId="49" fontId="32" fillId="0" borderId="0" xfId="0" applyNumberFormat="1" applyFont="1" applyAlignment="1" applyProtection="1">
      <alignment horizontal="left" vertical="top" wrapText="1" readingOrder="1"/>
      <protection hidden="1"/>
    </xf>
    <xf numFmtId="49" fontId="33" fillId="0" borderId="0" xfId="0" applyNumberFormat="1" applyFont="1" applyAlignment="1" applyProtection="1">
      <alignment horizontal="left" vertical="top" wrapText="1" readingOrder="1"/>
      <protection hidden="1"/>
    </xf>
    <xf numFmtId="49" fontId="32" fillId="0" borderId="0" xfId="0" applyNumberFormat="1" applyFont="1" applyAlignment="1" applyProtection="1">
      <alignment vertical="top" wrapText="1"/>
      <protection hidden="1"/>
    </xf>
    <xf numFmtId="0" fontId="32" fillId="0" borderId="0" xfId="0" applyFont="1" applyAlignment="1" applyProtection="1">
      <alignment wrapText="1"/>
      <protection hidden="1"/>
    </xf>
    <xf numFmtId="0" fontId="12" fillId="0" borderId="0" xfId="0" applyFont="1" applyAlignment="1" applyProtection="1">
      <alignment horizontal="left"/>
      <protection hidden="1"/>
    </xf>
    <xf numFmtId="49" fontId="15" fillId="0" borderId="0" xfId="0" applyNumberFormat="1" applyFont="1" applyAlignment="1" applyProtection="1">
      <alignment horizontal="left" vertical="center" wrapText="1"/>
      <protection hidden="1"/>
    </xf>
    <xf numFmtId="0" fontId="1" fillId="0" borderId="0" xfId="0" applyFont="1" applyAlignment="1" applyProtection="1">
      <alignment horizontal="right" vertical="center" wrapText="1"/>
      <protection hidden="1"/>
    </xf>
    <xf numFmtId="0" fontId="1" fillId="0" borderId="0" xfId="0" applyFont="1" applyAlignment="1" applyProtection="1">
      <alignment horizontal="right" vertical="center"/>
      <protection hidden="1"/>
    </xf>
    <xf numFmtId="49" fontId="7" fillId="0" borderId="0" xfId="1" applyNumberFormat="1" applyAlignment="1" applyProtection="1">
      <alignment horizontal="left" vertical="center"/>
      <protection hidden="1"/>
    </xf>
    <xf numFmtId="0" fontId="0" fillId="0" borderId="0" xfId="0" applyAlignment="1">
      <alignment vertical="center"/>
    </xf>
    <xf numFmtId="49" fontId="32" fillId="0" borderId="0" xfId="0" applyNumberFormat="1" applyFont="1" applyAlignment="1" applyProtection="1">
      <alignment horizontal="left" vertical="top" wrapText="1" readingOrder="1"/>
      <protection hidden="1"/>
    </xf>
    <xf numFmtId="49" fontId="33" fillId="0" borderId="0" xfId="0" applyNumberFormat="1" applyFont="1" applyAlignment="1" applyProtection="1">
      <alignment horizontal="left" wrapText="1" readingOrder="1"/>
      <protection hidden="1"/>
    </xf>
    <xf numFmtId="49" fontId="33" fillId="0" borderId="0" xfId="0" applyNumberFormat="1" applyFont="1" applyAlignment="1" applyProtection="1">
      <alignment horizontal="left" vertical="top" wrapText="1" readingOrder="1"/>
      <protection hidden="1"/>
    </xf>
    <xf numFmtId="0" fontId="32" fillId="0" borderId="0" xfId="0" applyFont="1" applyAlignment="1">
      <alignment horizontal="left" vertical="top" wrapText="1"/>
    </xf>
    <xf numFmtId="0" fontId="5" fillId="0" borderId="0" xfId="0" applyFont="1" applyAlignment="1" applyProtection="1">
      <alignment horizontal="right"/>
      <protection hidden="1"/>
    </xf>
    <xf numFmtId="0" fontId="21" fillId="3" borderId="18" xfId="0" applyFont="1" applyFill="1" applyBorder="1" applyAlignment="1" applyProtection="1">
      <alignment horizontal="center" vertical="center" wrapText="1"/>
      <protection hidden="1"/>
    </xf>
    <xf numFmtId="0" fontId="21" fillId="3" borderId="24" xfId="0" applyFont="1" applyFill="1" applyBorder="1" applyAlignment="1" applyProtection="1">
      <alignment horizontal="center" vertical="center" wrapText="1"/>
      <protection hidden="1"/>
    </xf>
    <xf numFmtId="9" fontId="21" fillId="0" borderId="13" xfId="4" applyFont="1" applyBorder="1" applyAlignment="1" applyProtection="1">
      <alignment horizontal="center" vertical="center"/>
      <protection hidden="1"/>
    </xf>
    <xf numFmtId="9" fontId="21" fillId="0" borderId="14" xfId="4" applyFont="1" applyBorder="1" applyAlignment="1" applyProtection="1">
      <alignment horizontal="center" vertical="center"/>
      <protection hidden="1"/>
    </xf>
    <xf numFmtId="0" fontId="21" fillId="3" borderId="19" xfId="0" applyFont="1" applyFill="1" applyBorder="1" applyAlignment="1" applyProtection="1">
      <alignment horizontal="center" vertical="center" wrapText="1"/>
      <protection hidden="1"/>
    </xf>
    <xf numFmtId="9" fontId="21" fillId="2" borderId="13" xfId="4" applyFont="1" applyFill="1" applyBorder="1" applyAlignment="1" applyProtection="1">
      <alignment horizontal="center" vertical="center"/>
      <protection hidden="1"/>
    </xf>
    <xf numFmtId="9" fontId="21" fillId="2" borderId="14" xfId="4" applyFont="1" applyFill="1" applyBorder="1" applyAlignment="1" applyProtection="1">
      <alignment horizontal="center" vertical="center"/>
      <protection hidden="1"/>
    </xf>
    <xf numFmtId="9" fontId="21" fillId="2" borderId="16" xfId="4" applyFont="1" applyFill="1" applyBorder="1" applyAlignment="1" applyProtection="1">
      <alignment horizontal="center" vertical="center"/>
      <protection hidden="1"/>
    </xf>
    <xf numFmtId="9" fontId="21" fillId="2" borderId="17" xfId="4" applyFont="1" applyFill="1" applyBorder="1" applyAlignment="1" applyProtection="1">
      <alignment horizontal="center" vertical="center"/>
      <protection hidden="1"/>
    </xf>
    <xf numFmtId="0" fontId="20" fillId="5" borderId="1" xfId="0" applyFont="1" applyFill="1" applyBorder="1" applyAlignment="1" applyProtection="1">
      <alignment horizontal="center" vertical="center" wrapText="1"/>
      <protection hidden="1"/>
    </xf>
    <xf numFmtId="0" fontId="20" fillId="5" borderId="5" xfId="0" applyFont="1" applyFill="1" applyBorder="1" applyAlignment="1" applyProtection="1">
      <alignment horizontal="center" vertical="center" wrapText="1"/>
      <protection hidden="1"/>
    </xf>
    <xf numFmtId="0" fontId="20" fillId="5" borderId="6" xfId="0" applyFont="1" applyFill="1" applyBorder="1" applyAlignment="1" applyProtection="1">
      <alignment horizontal="center" vertical="center" wrapText="1"/>
      <protection hidden="1"/>
    </xf>
    <xf numFmtId="0" fontId="21" fillId="3" borderId="20" xfId="0" applyFont="1" applyFill="1" applyBorder="1" applyAlignment="1" applyProtection="1">
      <alignment horizontal="center" vertical="center" wrapText="1"/>
      <protection hidden="1"/>
    </xf>
    <xf numFmtId="9" fontId="21" fillId="0" borderId="16" xfId="4" applyFont="1" applyBorder="1" applyAlignment="1" applyProtection="1">
      <alignment horizontal="center" vertical="center"/>
      <protection hidden="1"/>
    </xf>
    <xf numFmtId="9" fontId="21" fillId="0" borderId="17" xfId="4" applyFont="1" applyBorder="1" applyAlignment="1" applyProtection="1">
      <alignment horizontal="center" vertical="center"/>
      <protection hidden="1"/>
    </xf>
    <xf numFmtId="0" fontId="1" fillId="0" borderId="0" xfId="0" applyFont="1" applyAlignment="1" applyProtection="1">
      <alignment horizontal="center" vertical="center" wrapText="1"/>
      <protection hidden="1"/>
    </xf>
    <xf numFmtId="0" fontId="21" fillId="0" borderId="15" xfId="0" applyFont="1" applyBorder="1" applyAlignment="1" applyProtection="1">
      <alignment horizontal="center" vertical="center"/>
      <protection hidden="1"/>
    </xf>
    <xf numFmtId="0" fontId="21" fillId="0" borderId="3" xfId="0" applyFont="1" applyBorder="1" applyAlignment="1" applyProtection="1">
      <alignment horizontal="center" vertical="center"/>
      <protection hidden="1"/>
    </xf>
    <xf numFmtId="0" fontId="21" fillId="3" borderId="8" xfId="0" applyFont="1" applyFill="1" applyBorder="1" applyAlignment="1" applyProtection="1">
      <alignment horizontal="center" vertical="center" wrapText="1"/>
      <protection hidden="1"/>
    </xf>
    <xf numFmtId="0" fontId="21" fillId="0" borderId="13" xfId="0" applyFont="1" applyBorder="1" applyAlignment="1" applyProtection="1">
      <alignment horizontal="center" vertical="center"/>
      <protection hidden="1"/>
    </xf>
    <xf numFmtId="0" fontId="21" fillId="0" borderId="14" xfId="0" applyFont="1" applyBorder="1" applyAlignment="1" applyProtection="1">
      <alignment horizontal="center" vertical="center"/>
      <protection hidden="1"/>
    </xf>
    <xf numFmtId="0" fontId="21" fillId="0" borderId="16" xfId="0" applyFont="1" applyBorder="1" applyAlignment="1" applyProtection="1">
      <alignment horizontal="center" vertical="center"/>
      <protection hidden="1"/>
    </xf>
    <xf numFmtId="0" fontId="21" fillId="0" borderId="17" xfId="0" applyFont="1" applyBorder="1" applyAlignment="1" applyProtection="1">
      <alignment horizontal="center" vertical="center"/>
      <protection hidden="1"/>
    </xf>
    <xf numFmtId="0" fontId="21" fillId="3" borderId="8" xfId="0" applyFont="1" applyFill="1" applyBorder="1" applyAlignment="1" applyProtection="1">
      <alignment horizontal="left" vertical="center" wrapText="1"/>
      <protection hidden="1"/>
    </xf>
    <xf numFmtId="0" fontId="19" fillId="5" borderId="0" xfId="0" applyFont="1" applyFill="1" applyAlignment="1">
      <alignment horizontal="center"/>
    </xf>
    <xf numFmtId="0" fontId="22" fillId="0" borderId="0" xfId="0" applyFont="1" applyAlignment="1">
      <alignment horizontal="left" vertical="center" wrapText="1"/>
    </xf>
    <xf numFmtId="0" fontId="2" fillId="0" borderId="0" xfId="0" applyFont="1" applyAlignment="1" applyProtection="1">
      <alignment horizontal="left" vertical="center" wrapText="1"/>
      <protection hidden="1"/>
    </xf>
    <xf numFmtId="0" fontId="2" fillId="0" borderId="0" xfId="0" applyFont="1" applyAlignment="1" applyProtection="1">
      <alignment horizontal="left" vertical="center"/>
      <protection hidden="1"/>
    </xf>
    <xf numFmtId="49" fontId="0" fillId="0" borderId="0" xfId="0" applyNumberFormat="1" applyAlignment="1" applyProtection="1">
      <alignment horizontal="left" wrapText="1"/>
      <protection hidden="1"/>
    </xf>
    <xf numFmtId="0" fontId="6" fillId="0" borderId="0" xfId="0" applyFont="1" applyAlignment="1" applyProtection="1">
      <alignment horizontal="left" vertical="center" wrapText="1"/>
      <protection hidden="1"/>
    </xf>
    <xf numFmtId="0" fontId="10" fillId="0" borderId="0" xfId="0" applyFont="1" applyAlignment="1" applyProtection="1">
      <alignment horizontal="left" vertical="center" wrapText="1"/>
      <protection hidden="1"/>
    </xf>
    <xf numFmtId="49" fontId="14" fillId="0" borderId="0" xfId="0" applyNumberFormat="1" applyFont="1" applyAlignment="1" applyProtection="1">
      <alignment horizontal="left" vertical="center" wrapText="1"/>
      <protection hidden="1"/>
    </xf>
    <xf numFmtId="0" fontId="6" fillId="0" borderId="0" xfId="0" applyFont="1" applyAlignment="1" applyProtection="1">
      <alignment horizontal="right" vertical="center"/>
      <protection hidden="1"/>
    </xf>
  </cellXfs>
  <cellStyles count="6">
    <cellStyle name="Hipervínculo" xfId="1" builtinId="8"/>
    <cellStyle name="Millares" xfId="5" builtinId="3"/>
    <cellStyle name="Normal" xfId="0" builtinId="0"/>
    <cellStyle name="Normal 2" xfId="3" xr:uid="{00000000-0005-0000-0000-000002000000}"/>
    <cellStyle name="Normal 2 2" xfId="2" xr:uid="{00000000-0005-0000-0000-000003000000}"/>
    <cellStyle name="Porcentaje" xfId="4" builtinId="5"/>
  </cellStyles>
  <dxfs count="0"/>
  <tableStyles count="0" defaultTableStyle="TableStyleMedium2" defaultPivotStyle="PivotStyleLight16"/>
  <colors>
    <mruColors>
      <color rgb="FF2C3D50"/>
      <color rgb="FFEEF1F3"/>
      <color rgb="FF001F60"/>
      <color rgb="FFFFFFFF"/>
      <color rgb="FFD9D9D9"/>
      <color rgb="FFEEDFF7"/>
      <color rgb="FFFFE8CA"/>
      <color rgb="FFFBE3FF"/>
      <color rgb="FFFFE7CA"/>
      <color rgb="FFFFBB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59BE-A44C-B3F0-4D4CC350EEED}">
          <cx:dataLabels pos="inEnd">
            <cx:txPr>
              <a:bodyPr spcFirstLastPara="1" vertOverflow="ellipsis" horzOverflow="overflow" wrap="square" lIns="0" tIns="0" rIns="0" bIns="0" anchor="ctr" anchorCtr="1"/>
              <a:lstStyle/>
              <a:p>
                <a:pPr algn="ctr" rtl="0">
                  <a:defRPr sz="1200"/>
                </a:pPr>
                <a:endParaRPr lang="es-MX" sz="1200" b="0"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F381-044D-A64F-A32E0C8DD32B}">
          <cx:dataLabels pos="inEnd">
            <cx:txPr>
              <a:bodyPr spcFirstLastPara="1" vertOverflow="ellipsis" horzOverflow="overflow" wrap="square" lIns="0" tIns="0" rIns="0" bIns="0" anchor="ctr" anchorCtr="1"/>
              <a:lstStyle/>
              <a:p>
                <a:pPr algn="ctr" rtl="0">
                  <a:defRPr sz="1200"/>
                </a:pPr>
                <a:endParaRPr lang="es-MX" sz="1200" b="0"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4.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4.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hyperlink" Target="https://www.instagram.com/ac_consulting/" TargetMode="External"/><Relationship Id="rId2" Type="http://schemas.openxmlformats.org/officeDocument/2006/relationships/image" Target="../media/image3.png"/><Relationship Id="rId1" Type="http://schemas.openxmlformats.org/officeDocument/2006/relationships/image" Target="../media/image5.jpeg"/><Relationship Id="rId5" Type="http://schemas.openxmlformats.org/officeDocument/2006/relationships/hyperlink" Target="https://www.instagram.com/avgh_rrhh/" TargetMode="External"/><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hyperlink" Target="https://www.instagram.com/avgh_rrhh/" TargetMode="External"/><Relationship Id="rId2" Type="http://schemas.openxmlformats.org/officeDocument/2006/relationships/image" Target="../media/image3.png"/><Relationship Id="rId1" Type="http://schemas.openxmlformats.org/officeDocument/2006/relationships/image" Target="../media/image5.jpeg"/><Relationship Id="rId6" Type="http://schemas.openxmlformats.org/officeDocument/2006/relationships/image" Target="../media/image6.png"/><Relationship Id="rId5" Type="http://schemas.openxmlformats.org/officeDocument/2006/relationships/hyperlink" Target="https://www.instagram.com/ac_consulting/" TargetMode="External"/><Relationship Id="rId4"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3.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6.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4.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9.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4.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3.png"/><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3" Type="http://schemas.openxmlformats.org/officeDocument/2006/relationships/hyperlink" Target="http://www.acconsult.net/" TargetMode="External"/><Relationship Id="rId2" Type="http://schemas.openxmlformats.org/officeDocument/2006/relationships/image" Target="../media/image8.png"/><Relationship Id="rId1" Type="http://schemas.openxmlformats.org/officeDocument/2006/relationships/image" Target="../media/image7.jpeg"/><Relationship Id="rId6" Type="http://schemas.openxmlformats.org/officeDocument/2006/relationships/image" Target="../media/image4.png"/><Relationship Id="rId5" Type="http://schemas.openxmlformats.org/officeDocument/2006/relationships/hyperlink" Target="https://www.instagram.com/ac_consulting/" TargetMode="External"/><Relationship Id="rId4" Type="http://schemas.openxmlformats.org/officeDocument/2006/relationships/image" Target="../media/image9.jpeg"/></Relationships>
</file>

<file path=xl/drawings/_rels/drawing12.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4.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www.instagram.com/ac_consulting/" TargetMode="External"/><Relationship Id="rId1" Type="http://schemas.openxmlformats.org/officeDocument/2006/relationships/image" Target="../media/image10.jpeg"/><Relationship Id="rId5" Type="http://schemas.openxmlformats.org/officeDocument/2006/relationships/image" Target="../media/image3.png"/><Relationship Id="rId4" Type="http://schemas.openxmlformats.org/officeDocument/2006/relationships/hyperlink" Target="https://www.instagram.com/avgh_rrhh/"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5</xdr:col>
      <xdr:colOff>742327</xdr:colOff>
      <xdr:row>9</xdr:row>
      <xdr:rowOff>179294</xdr:rowOff>
    </xdr:to>
    <xdr:pic>
      <xdr:nvPicPr>
        <xdr:cNvPr id="2" name="Picture 5" descr="Alamy_AAYK2P_PPT">
          <a:extLst>
            <a:ext uri="{FF2B5EF4-FFF2-40B4-BE49-F238E27FC236}">
              <a16:creationId xmlns:a16="http://schemas.microsoft.com/office/drawing/2014/main" id="{E697284A-F9DC-444C-AEEE-7D994ECA21B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5619127" cy="2008093"/>
        </a:xfrm>
        <a:prstGeom prst="rect">
          <a:avLst/>
        </a:prstGeom>
        <a:noFill/>
      </xdr:spPr>
    </xdr:pic>
    <xdr:clientData/>
  </xdr:twoCellAnchor>
  <xdr:twoCellAnchor>
    <xdr:from>
      <xdr:col>1</xdr:col>
      <xdr:colOff>666751</xdr:colOff>
      <xdr:row>19</xdr:row>
      <xdr:rowOff>52918</xdr:rowOff>
    </xdr:from>
    <xdr:to>
      <xdr:col>5</xdr:col>
      <xdr:colOff>762001</xdr:colOff>
      <xdr:row>22</xdr:row>
      <xdr:rowOff>192618</xdr:rowOff>
    </xdr:to>
    <xdr:grpSp>
      <xdr:nvGrpSpPr>
        <xdr:cNvPr id="8" name="Grupo 7">
          <a:extLst>
            <a:ext uri="{FF2B5EF4-FFF2-40B4-BE49-F238E27FC236}">
              <a16:creationId xmlns:a16="http://schemas.microsoft.com/office/drawing/2014/main" id="{BD6BFD03-8CE5-CD4A-A8B8-5553AE33F020}"/>
            </a:ext>
          </a:extLst>
        </xdr:cNvPr>
        <xdr:cNvGrpSpPr/>
      </xdr:nvGrpSpPr>
      <xdr:grpSpPr>
        <a:xfrm>
          <a:off x="2243668" y="3778251"/>
          <a:ext cx="3397250" cy="806450"/>
          <a:chOff x="2465917" y="3869267"/>
          <a:chExt cx="3058583" cy="742950"/>
        </a:xfrm>
      </xdr:grpSpPr>
      <xdr:pic>
        <xdr:nvPicPr>
          <xdr:cNvPr id="9" name="Imagen 1" descr="C:\Users\Julio Contreras.PC-Julio\Desktop\Logos AC Consulting\encabezado.jpg">
            <a:extLst>
              <a:ext uri="{FF2B5EF4-FFF2-40B4-BE49-F238E27FC236}">
                <a16:creationId xmlns:a16="http://schemas.microsoft.com/office/drawing/2014/main" id="{438A5840-0F9E-6984-3D63-D46B6487E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Imagen 9">
            <a:extLst>
              <a:ext uri="{FF2B5EF4-FFF2-40B4-BE49-F238E27FC236}">
                <a16:creationId xmlns:a16="http://schemas.microsoft.com/office/drawing/2014/main" id="{D98CA12E-498F-2EBD-0BBD-D3E76DAE6DA4}"/>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185590</xdr:rowOff>
    </xdr:from>
    <xdr:to>
      <xdr:col>12</xdr:col>
      <xdr:colOff>773546</xdr:colOff>
      <xdr:row>18</xdr:row>
      <xdr:rowOff>138544</xdr:rowOff>
    </xdr:to>
    <xdr:sp macro="" textlink="">
      <xdr:nvSpPr>
        <xdr:cNvPr id="8" name="2 Subtítulo">
          <a:extLst>
            <a:ext uri="{FF2B5EF4-FFF2-40B4-BE49-F238E27FC236}">
              <a16:creationId xmlns:a16="http://schemas.microsoft.com/office/drawing/2014/main" id="{00000000-0008-0000-0100-000008000000}"/>
            </a:ext>
          </a:extLst>
        </xdr:cNvPr>
        <xdr:cNvSpPr>
          <a:spLocks noGrp="1"/>
        </xdr:cNvSpPr>
      </xdr:nvSpPr>
      <xdr:spPr>
        <a:xfrm>
          <a:off x="138545" y="1501772"/>
          <a:ext cx="5657274" cy="2897045"/>
        </a:xfrm>
        <a:prstGeom prst="rect">
          <a:avLst/>
        </a:prstGeom>
      </xdr:spPr>
      <xdr:txBody>
        <a:bodyPr vert="horz" wrap="square" lIns="91440" tIns="45720" rIns="91440" bIns="45720" rtlCol="0">
          <a:noAutofit/>
        </a:bodyPr>
        <a:lstStyle>
          <a:lvl1pPr marL="0" indent="0" algn="ctr" defTabSz="914400" rtl="0" eaLnBrk="1" latinLnBrk="0" hangingPunct="1">
            <a:spcBef>
              <a:spcPct val="20000"/>
            </a:spcBef>
            <a:buFont typeface="Arial" pitchFamily="34" charset="0"/>
            <a:buNone/>
            <a:defRPr sz="3200" kern="1200">
              <a:solidFill>
                <a:schemeClr val="tx1">
                  <a:tint val="75000"/>
                </a:schemeClr>
              </a:solidFill>
              <a:latin typeface="+mn-lt"/>
              <a:ea typeface="+mn-ea"/>
              <a:cs typeface="+mn-cs"/>
            </a:defRPr>
          </a:lvl1pPr>
          <a:lvl2pPr marL="457200" indent="0" algn="ctr" defTabSz="914400" rtl="0" eaLnBrk="1" latinLnBrk="0" hangingPunct="1">
            <a:spcBef>
              <a:spcPct val="20000"/>
            </a:spcBef>
            <a:buFont typeface="Arial" pitchFamily="34" charset="0"/>
            <a:buNone/>
            <a:defRPr sz="2800" kern="1200">
              <a:solidFill>
                <a:schemeClr val="tx1">
                  <a:tint val="75000"/>
                </a:schemeClr>
              </a:solidFill>
              <a:latin typeface="+mn-lt"/>
              <a:ea typeface="+mn-ea"/>
              <a:cs typeface="+mn-cs"/>
            </a:defRPr>
          </a:lvl2pPr>
          <a:lvl3pPr marL="914400" indent="0" algn="ctr" defTabSz="914400" rtl="0" eaLnBrk="1" latinLnBrk="0" hangingPunct="1">
            <a:spcBef>
              <a:spcPct val="20000"/>
            </a:spcBef>
            <a:buFont typeface="Arial" pitchFamily="34" charset="0"/>
            <a:buNone/>
            <a:defRPr sz="2400" kern="1200">
              <a:solidFill>
                <a:schemeClr val="tx1">
                  <a:tint val="75000"/>
                </a:schemeClr>
              </a:solidFill>
              <a:latin typeface="+mn-lt"/>
              <a:ea typeface="+mn-ea"/>
              <a:cs typeface="+mn-cs"/>
            </a:defRPr>
          </a:lvl3pPr>
          <a:lvl4pPr marL="1371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4pPr>
          <a:lvl5pPr marL="18288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5pPr>
          <a:lvl6pPr marL="22860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6pPr>
          <a:lvl7pPr marL="27432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7pPr>
          <a:lvl8pPr marL="32004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8pPr>
          <a:lvl9pPr marL="3657600" indent="0" algn="ctr" defTabSz="914400" rtl="0" eaLnBrk="1" latinLnBrk="0" hangingPunct="1">
            <a:spcBef>
              <a:spcPct val="20000"/>
            </a:spcBef>
            <a:buFont typeface="Arial" pitchFamily="34" charset="0"/>
            <a:buNone/>
            <a:defRPr sz="2000" kern="1200">
              <a:solidFill>
                <a:schemeClr val="tx1">
                  <a:tint val="75000"/>
                </a:schemeClr>
              </a:solidFill>
              <a:latin typeface="+mn-lt"/>
              <a:ea typeface="+mn-ea"/>
              <a:cs typeface="+mn-cs"/>
            </a:defRPr>
          </a:lvl9pPr>
        </a:lstStyle>
        <a:p>
          <a:pPr algn="l"/>
          <a:r>
            <a:rPr lang="es-ES" sz="1100" i="1">
              <a:solidFill>
                <a:sysClr val="windowText" lastClr="000000"/>
              </a:solidFill>
            </a:rPr>
            <a:t>Nuestro reconomiento por haber participado en la Encuesta de Compensación Integral, el cual nos permitió levantar y documentar información salarial de las áreas de Administración y Finanzas, Capital Humano, Comercialización y Ventas, Ingeniería / Proyecto, Producción, Tecnología, Servicios Generales, Atención al Cliente y Alta Gerencia.</a:t>
          </a:r>
        </a:p>
        <a:p>
          <a:pPr algn="l"/>
          <a:endParaRPr lang="es-ES" sz="1100" i="1">
            <a:solidFill>
              <a:sysClr val="windowText" lastClr="000000"/>
            </a:solidFill>
          </a:endParaRPr>
        </a:p>
        <a:p>
          <a:pPr algn="l"/>
          <a:r>
            <a:rPr lang="es-ES" sz="1100" i="1">
              <a:solidFill>
                <a:sysClr val="windowText" lastClr="000000"/>
              </a:solidFill>
            </a:rPr>
            <a:t>Este estudio no tiene intención comercial, constituye un aporte de AC Consulting y la Asociación Venezolana de Gestión Humana, con</a:t>
          </a:r>
          <a:r>
            <a:rPr lang="es-ES" sz="1100" i="1" baseline="0">
              <a:solidFill>
                <a:sysClr val="windowText" lastClr="000000"/>
              </a:solidFill>
            </a:rPr>
            <a:t> el fin </a:t>
          </a:r>
          <a:r>
            <a:rPr lang="es-ES" sz="1100" i="1">
              <a:solidFill>
                <a:sysClr val="windowText" lastClr="000000"/>
              </a:solidFill>
            </a:rPr>
            <a:t>de compartir prácticas del mercado.</a:t>
          </a:r>
        </a:p>
        <a:p>
          <a:pPr algn="l"/>
          <a:endParaRPr lang="es-ES" sz="1100" i="1">
            <a:solidFill>
              <a:sysClr val="windowText" lastClr="000000"/>
            </a:solidFill>
          </a:endParaRPr>
        </a:p>
        <a:p>
          <a:pPr algn="l"/>
          <a:r>
            <a:rPr lang="es-ES" sz="1100" i="1">
              <a:solidFill>
                <a:sysClr val="windowText" lastClr="000000"/>
              </a:solidFill>
            </a:rPr>
            <a:t>Este informe es confindencial y debe ser destinado para uso particular.</a:t>
          </a:r>
        </a:p>
        <a:p>
          <a:pPr algn="l"/>
          <a:endParaRPr lang="es-ES" sz="1100" i="1">
            <a:solidFill>
              <a:sysClr val="windowText" lastClr="000000"/>
            </a:solidFill>
          </a:endParaRPr>
        </a:p>
        <a:p>
          <a:pPr algn="l"/>
          <a:r>
            <a:rPr lang="es-ES" sz="1100" i="1">
              <a:solidFill>
                <a:sysClr val="windowText" lastClr="000000"/>
              </a:solidFill>
            </a:rPr>
            <a:t>Esperamos que sea un valioso aporte para su organización.</a:t>
          </a:r>
        </a:p>
        <a:p>
          <a:pPr algn="l"/>
          <a:endParaRPr lang="es-ES" sz="1100" i="1">
            <a:solidFill>
              <a:sysClr val="windowText" lastClr="000000"/>
            </a:solidFill>
          </a:endParaRPr>
        </a:p>
        <a:p>
          <a:pPr algn="l"/>
          <a:r>
            <a:rPr lang="es-ES" sz="1100" i="1">
              <a:solidFill>
                <a:sysClr val="windowText" lastClr="000000"/>
              </a:solidFill>
            </a:rPr>
            <a:t>Saludos cordiales,</a:t>
          </a:r>
        </a:p>
        <a:p>
          <a:pPr algn="l"/>
          <a:r>
            <a:rPr lang="es-ES" sz="1100" i="1">
              <a:solidFill>
                <a:sysClr val="windowText" lastClr="000000"/>
              </a:solidFill>
            </a:rPr>
            <a:t>AC Consulting y Asociación Venezolana de Gestión Humana</a:t>
          </a:r>
        </a:p>
      </xdr:txBody>
    </xdr:sp>
    <xdr:clientData/>
  </xdr:twoCellAnchor>
  <xdr:twoCellAnchor>
    <xdr:from>
      <xdr:col>11</xdr:col>
      <xdr:colOff>203888</xdr:colOff>
      <xdr:row>0</xdr:row>
      <xdr:rowOff>0</xdr:rowOff>
    </xdr:from>
    <xdr:to>
      <xdr:col>11</xdr:col>
      <xdr:colOff>495486</xdr:colOff>
      <xdr:row>0</xdr:row>
      <xdr:rowOff>305943</xdr:rowOff>
    </xdr:to>
    <xdr:pic>
      <xdr:nvPicPr>
        <xdr:cNvPr id="14" name="Picture 5">
          <a:hlinkClick xmlns:r="http://schemas.openxmlformats.org/officeDocument/2006/relationships" r:id="rId1"/>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4394888" y="0"/>
          <a:ext cx="291598" cy="305943"/>
        </a:xfrm>
        <a:prstGeom prst="rect">
          <a:avLst/>
        </a:prstGeom>
        <a:noFill/>
        <a:ln w="9525">
          <a:noFill/>
          <a:miter lim="800000"/>
          <a:headEnd/>
          <a:tailEnd/>
        </a:ln>
        <a:effectLst/>
      </xdr:spPr>
    </xdr:pic>
    <xdr:clientData/>
  </xdr:twoCellAnchor>
  <xdr:twoCellAnchor>
    <xdr:from>
      <xdr:col>11</xdr:col>
      <xdr:colOff>206197</xdr:colOff>
      <xdr:row>0</xdr:row>
      <xdr:rowOff>337127</xdr:rowOff>
    </xdr:from>
    <xdr:to>
      <xdr:col>11</xdr:col>
      <xdr:colOff>497795</xdr:colOff>
      <xdr:row>0</xdr:row>
      <xdr:rowOff>643070</xdr:rowOff>
    </xdr:to>
    <xdr:pic>
      <xdr:nvPicPr>
        <xdr:cNvPr id="15" name="Picture 5">
          <a:hlinkClick xmlns:r="http://schemas.openxmlformats.org/officeDocument/2006/relationships" r:id="rId3"/>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4397197" y="337127"/>
          <a:ext cx="291598" cy="305943"/>
        </a:xfrm>
        <a:prstGeom prst="rect">
          <a:avLst/>
        </a:prstGeom>
        <a:noFill/>
        <a:ln w="9525">
          <a:noFill/>
          <a:miter lim="800000"/>
          <a:headEnd/>
          <a:tailEnd/>
        </a:ln>
        <a:effectLst/>
      </xdr:spPr>
    </xdr:pic>
    <xdr:clientData/>
  </xdr:twoCellAnchor>
  <xdr:twoCellAnchor>
    <xdr:from>
      <xdr:col>11</xdr:col>
      <xdr:colOff>450272</xdr:colOff>
      <xdr:row>0</xdr:row>
      <xdr:rowOff>11546</xdr:rowOff>
    </xdr:from>
    <xdr:to>
      <xdr:col>12</xdr:col>
      <xdr:colOff>804390</xdr:colOff>
      <xdr:row>0</xdr:row>
      <xdr:rowOff>727363</xdr:rowOff>
    </xdr:to>
    <xdr:sp macro="" textlink="">
      <xdr:nvSpPr>
        <xdr:cNvPr id="16" name="5 CuadroTexto">
          <a:extLst>
            <a:ext uri="{FF2B5EF4-FFF2-40B4-BE49-F238E27FC236}">
              <a16:creationId xmlns:a16="http://schemas.microsoft.com/office/drawing/2014/main" id="{00000000-0008-0000-0100-000010000000}"/>
            </a:ext>
          </a:extLst>
        </xdr:cNvPr>
        <xdr:cNvSpPr txBox="1"/>
      </xdr:nvSpPr>
      <xdr:spPr>
        <a:xfrm>
          <a:off x="4641272" y="11546"/>
          <a:ext cx="1185391"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7</xdr:col>
      <xdr:colOff>564445</xdr:colOff>
      <xdr:row>0</xdr:row>
      <xdr:rowOff>571500</xdr:rowOff>
    </xdr:to>
    <xdr:grpSp>
      <xdr:nvGrpSpPr>
        <xdr:cNvPr id="2" name="Grupo 1">
          <a:extLst>
            <a:ext uri="{FF2B5EF4-FFF2-40B4-BE49-F238E27FC236}">
              <a16:creationId xmlns:a16="http://schemas.microsoft.com/office/drawing/2014/main" id="{E2DEEB1B-ED54-8844-8FA6-FED613A15235}"/>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C1D99643-FA41-7C5D-9A0A-DCAC9CC62A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2E8AFAE7-2BAE-A401-2846-5AA928159F7A}"/>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13</xdr:col>
      <xdr:colOff>162278</xdr:colOff>
      <xdr:row>2</xdr:row>
      <xdr:rowOff>0</xdr:rowOff>
    </xdr:to>
    <xdr:sp macro="" textlink="">
      <xdr:nvSpPr>
        <xdr:cNvPr id="5" name="Recortar rectángulo de esquina del mismo lado 4">
          <a:extLst>
            <a:ext uri="{FF2B5EF4-FFF2-40B4-BE49-F238E27FC236}">
              <a16:creationId xmlns:a16="http://schemas.microsoft.com/office/drawing/2014/main" id="{CE6ABE4D-A160-4A4C-8D2E-B099F9446BEC}"/>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AGRADECIMIENTO</a:t>
          </a:r>
          <a:endParaRPr lang="es-MX" sz="1400"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203888</xdr:colOff>
      <xdr:row>0</xdr:row>
      <xdr:rowOff>0</xdr:rowOff>
    </xdr:from>
    <xdr:to>
      <xdr:col>11</xdr:col>
      <xdr:colOff>495486</xdr:colOff>
      <xdr:row>0</xdr:row>
      <xdr:rowOff>305943</xdr:rowOff>
    </xdr:to>
    <xdr:pic>
      <xdr:nvPicPr>
        <xdr:cNvPr id="14" name="Picture 5">
          <a:hlinkClick xmlns:r="http://schemas.openxmlformats.org/officeDocument/2006/relationships" r:id="rId1"/>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4382188" y="0"/>
          <a:ext cx="291598" cy="305943"/>
        </a:xfrm>
        <a:prstGeom prst="rect">
          <a:avLst/>
        </a:prstGeom>
        <a:noFill/>
        <a:ln w="9525">
          <a:noFill/>
          <a:miter lim="800000"/>
          <a:headEnd/>
          <a:tailEnd/>
        </a:ln>
        <a:effectLst/>
      </xdr:spPr>
    </xdr:pic>
    <xdr:clientData/>
  </xdr:twoCellAnchor>
  <xdr:twoCellAnchor>
    <xdr:from>
      <xdr:col>11</xdr:col>
      <xdr:colOff>206197</xdr:colOff>
      <xdr:row>0</xdr:row>
      <xdr:rowOff>337127</xdr:rowOff>
    </xdr:from>
    <xdr:to>
      <xdr:col>11</xdr:col>
      <xdr:colOff>497795</xdr:colOff>
      <xdr:row>0</xdr:row>
      <xdr:rowOff>643070</xdr:rowOff>
    </xdr:to>
    <xdr:pic>
      <xdr:nvPicPr>
        <xdr:cNvPr id="15" name="Picture 5">
          <a:hlinkClick xmlns:r="http://schemas.openxmlformats.org/officeDocument/2006/relationships" r:id="rId3"/>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4384497" y="337127"/>
          <a:ext cx="291598" cy="305943"/>
        </a:xfrm>
        <a:prstGeom prst="rect">
          <a:avLst/>
        </a:prstGeom>
        <a:noFill/>
        <a:ln w="9525">
          <a:noFill/>
          <a:miter lim="800000"/>
          <a:headEnd/>
          <a:tailEnd/>
        </a:ln>
        <a:effectLst/>
      </xdr:spPr>
    </xdr:pic>
    <xdr:clientData/>
  </xdr:twoCellAnchor>
  <xdr:twoCellAnchor>
    <xdr:from>
      <xdr:col>11</xdr:col>
      <xdr:colOff>450272</xdr:colOff>
      <xdr:row>0</xdr:row>
      <xdr:rowOff>11546</xdr:rowOff>
    </xdr:from>
    <xdr:to>
      <xdr:col>12</xdr:col>
      <xdr:colOff>804390</xdr:colOff>
      <xdr:row>0</xdr:row>
      <xdr:rowOff>727363</xdr:rowOff>
    </xdr:to>
    <xdr:sp macro="" textlink="">
      <xdr:nvSpPr>
        <xdr:cNvPr id="16" name="5 CuadroTexto">
          <a:extLst>
            <a:ext uri="{FF2B5EF4-FFF2-40B4-BE49-F238E27FC236}">
              <a16:creationId xmlns:a16="http://schemas.microsoft.com/office/drawing/2014/main" id="{00000000-0008-0000-0200-000010000000}"/>
            </a:ext>
          </a:extLst>
        </xdr:cNvPr>
        <xdr:cNvSpPr txBox="1"/>
      </xdr:nvSpPr>
      <xdr:spPr>
        <a:xfrm>
          <a:off x="46285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7</xdr:col>
      <xdr:colOff>564445</xdr:colOff>
      <xdr:row>0</xdr:row>
      <xdr:rowOff>571500</xdr:rowOff>
    </xdr:to>
    <xdr:grpSp>
      <xdr:nvGrpSpPr>
        <xdr:cNvPr id="2" name="Grupo 1">
          <a:extLst>
            <a:ext uri="{FF2B5EF4-FFF2-40B4-BE49-F238E27FC236}">
              <a16:creationId xmlns:a16="http://schemas.microsoft.com/office/drawing/2014/main" id="{460E384E-ABC2-5E49-A68C-84222055FCD0}"/>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11A4359D-4690-D432-32B0-00A292411D2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154A4F7B-FDA6-86EF-80C3-628C261B2BAA}"/>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12</xdr:col>
      <xdr:colOff>726722</xdr:colOff>
      <xdr:row>2</xdr:row>
      <xdr:rowOff>0</xdr:rowOff>
    </xdr:to>
    <xdr:sp macro="" textlink="">
      <xdr:nvSpPr>
        <xdr:cNvPr id="5" name="Recortar rectángulo de esquina del mismo lado 4">
          <a:extLst>
            <a:ext uri="{FF2B5EF4-FFF2-40B4-BE49-F238E27FC236}">
              <a16:creationId xmlns:a16="http://schemas.microsoft.com/office/drawing/2014/main" id="{21D332FF-A358-AD4F-B5C3-16A20298A642}"/>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CONTENIDO</a:t>
          </a:r>
          <a:endParaRPr lang="es-MX" sz="1400" i="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1961445</xdr:colOff>
      <xdr:row>0</xdr:row>
      <xdr:rowOff>571500</xdr:rowOff>
    </xdr:to>
    <xdr:grpSp>
      <xdr:nvGrpSpPr>
        <xdr:cNvPr id="2" name="Grupo 1">
          <a:extLst>
            <a:ext uri="{FF2B5EF4-FFF2-40B4-BE49-F238E27FC236}">
              <a16:creationId xmlns:a16="http://schemas.microsoft.com/office/drawing/2014/main" id="{EBB78B03-D903-DE47-B510-E6690B9AD67C}"/>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5A473B77-D891-6DFC-E983-A68962216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8EB6EF27-12E2-B3A2-DA7B-B4FD8A281AB5}"/>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8</xdr:col>
      <xdr:colOff>275167</xdr:colOff>
      <xdr:row>2</xdr:row>
      <xdr:rowOff>0</xdr:rowOff>
    </xdr:to>
    <xdr:sp macro="" textlink="">
      <xdr:nvSpPr>
        <xdr:cNvPr id="5" name="Recortar rectángulo de esquina del mismo lado 4">
          <a:extLst>
            <a:ext uri="{FF2B5EF4-FFF2-40B4-BE49-F238E27FC236}">
              <a16:creationId xmlns:a16="http://schemas.microsoft.com/office/drawing/2014/main" id="{03468DE9-7FF9-1041-8424-3B3A31911FD4}"/>
            </a:ext>
          </a:extLst>
        </xdr:cNvPr>
        <xdr:cNvSpPr/>
      </xdr:nvSpPr>
      <xdr:spPr>
        <a:xfrm rot="5400000">
          <a:off x="2760134" y="-1744134"/>
          <a:ext cx="508000" cy="6028267"/>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METODOLOGÍA</a:t>
          </a:r>
          <a:endParaRPr lang="es-MX" sz="1400" i="1"/>
        </a:p>
      </xdr:txBody>
    </xdr:sp>
    <xdr:clientData/>
  </xdr:twoCellAnchor>
  <xdr:twoCellAnchor>
    <xdr:from>
      <xdr:col>7</xdr:col>
      <xdr:colOff>203888</xdr:colOff>
      <xdr:row>0</xdr:row>
      <xdr:rowOff>0</xdr:rowOff>
    </xdr:from>
    <xdr:to>
      <xdr:col>7</xdr:col>
      <xdr:colOff>495486</xdr:colOff>
      <xdr:row>0</xdr:row>
      <xdr:rowOff>305943</xdr:rowOff>
    </xdr:to>
    <xdr:pic>
      <xdr:nvPicPr>
        <xdr:cNvPr id="6" name="Picture 5">
          <a:hlinkClick xmlns:r="http://schemas.openxmlformats.org/officeDocument/2006/relationships" r:id="rId3"/>
          <a:extLst>
            <a:ext uri="{FF2B5EF4-FFF2-40B4-BE49-F238E27FC236}">
              <a16:creationId xmlns:a16="http://schemas.microsoft.com/office/drawing/2014/main" id="{CCA688AD-C7E8-9748-A2A9-C7D9E3822050}"/>
            </a:ext>
          </a:extLst>
        </xdr:cNvPr>
        <xdr:cNvPicPr>
          <a:picLocks noChangeAspect="1" noChangeArrowheads="1"/>
        </xdr:cNvPicPr>
      </xdr:nvPicPr>
      <xdr:blipFill>
        <a:blip xmlns:r="http://schemas.openxmlformats.org/officeDocument/2006/relationships" r:embed="rId4" cstate="print"/>
        <a:srcRect l="27505" t="1430" r="27486" b="34187"/>
        <a:stretch>
          <a:fillRect/>
        </a:stretch>
      </xdr:blipFill>
      <xdr:spPr bwMode="auto">
        <a:xfrm>
          <a:off x="4661588" y="0"/>
          <a:ext cx="291598" cy="305943"/>
        </a:xfrm>
        <a:prstGeom prst="rect">
          <a:avLst/>
        </a:prstGeom>
        <a:noFill/>
        <a:ln w="9525">
          <a:noFill/>
          <a:miter lim="800000"/>
          <a:headEnd/>
          <a:tailEnd/>
        </a:ln>
        <a:effectLst/>
      </xdr:spPr>
    </xdr:pic>
    <xdr:clientData/>
  </xdr:twoCellAnchor>
  <xdr:twoCellAnchor>
    <xdr:from>
      <xdr:col>7</xdr:col>
      <xdr:colOff>206197</xdr:colOff>
      <xdr:row>0</xdr:row>
      <xdr:rowOff>337127</xdr:rowOff>
    </xdr:from>
    <xdr:to>
      <xdr:col>7</xdr:col>
      <xdr:colOff>497795</xdr:colOff>
      <xdr:row>0</xdr:row>
      <xdr:rowOff>643070</xdr:rowOff>
    </xdr:to>
    <xdr:pic>
      <xdr:nvPicPr>
        <xdr:cNvPr id="7" name="Picture 5">
          <a:hlinkClick xmlns:r="http://schemas.openxmlformats.org/officeDocument/2006/relationships" r:id="rId5"/>
          <a:extLst>
            <a:ext uri="{FF2B5EF4-FFF2-40B4-BE49-F238E27FC236}">
              <a16:creationId xmlns:a16="http://schemas.microsoft.com/office/drawing/2014/main" id="{275E2C4B-0F1F-174E-9E34-A0FEE71691A3}"/>
            </a:ext>
          </a:extLst>
        </xdr:cNvPr>
        <xdr:cNvPicPr>
          <a:picLocks noChangeAspect="1" noChangeArrowheads="1"/>
        </xdr:cNvPicPr>
      </xdr:nvPicPr>
      <xdr:blipFill>
        <a:blip xmlns:r="http://schemas.openxmlformats.org/officeDocument/2006/relationships" r:embed="rId4" cstate="print"/>
        <a:srcRect l="27505" t="1430" r="27486" b="34187"/>
        <a:stretch>
          <a:fillRect/>
        </a:stretch>
      </xdr:blipFill>
      <xdr:spPr bwMode="auto">
        <a:xfrm>
          <a:off x="4663897" y="337127"/>
          <a:ext cx="291598" cy="305943"/>
        </a:xfrm>
        <a:prstGeom prst="rect">
          <a:avLst/>
        </a:prstGeom>
        <a:noFill/>
        <a:ln w="9525">
          <a:noFill/>
          <a:miter lim="800000"/>
          <a:headEnd/>
          <a:tailEnd/>
        </a:ln>
        <a:effectLst/>
      </xdr:spPr>
    </xdr:pic>
    <xdr:clientData/>
  </xdr:twoCellAnchor>
  <xdr:twoCellAnchor>
    <xdr:from>
      <xdr:col>7</xdr:col>
      <xdr:colOff>450272</xdr:colOff>
      <xdr:row>0</xdr:row>
      <xdr:rowOff>11546</xdr:rowOff>
    </xdr:from>
    <xdr:to>
      <xdr:col>8</xdr:col>
      <xdr:colOff>804390</xdr:colOff>
      <xdr:row>0</xdr:row>
      <xdr:rowOff>727363</xdr:rowOff>
    </xdr:to>
    <xdr:sp macro="" textlink="">
      <xdr:nvSpPr>
        <xdr:cNvPr id="8" name="5 CuadroTexto">
          <a:extLst>
            <a:ext uri="{FF2B5EF4-FFF2-40B4-BE49-F238E27FC236}">
              <a16:creationId xmlns:a16="http://schemas.microsoft.com/office/drawing/2014/main" id="{F04D056E-EFDE-B14D-9C9D-2BBD038E6D5F}"/>
            </a:ext>
          </a:extLst>
        </xdr:cNvPr>
        <xdr:cNvSpPr txBox="1"/>
      </xdr:nvSpPr>
      <xdr:spPr>
        <a:xfrm>
          <a:off x="49079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2247195</xdr:colOff>
      <xdr:row>0</xdr:row>
      <xdr:rowOff>571500</xdr:rowOff>
    </xdr:to>
    <xdr:grpSp>
      <xdr:nvGrpSpPr>
        <xdr:cNvPr id="4" name="Grupo 3">
          <a:extLst>
            <a:ext uri="{FF2B5EF4-FFF2-40B4-BE49-F238E27FC236}">
              <a16:creationId xmlns:a16="http://schemas.microsoft.com/office/drawing/2014/main" id="{83BA5D65-F207-4649-B4E7-BA485DCF703D}"/>
            </a:ext>
          </a:extLst>
        </xdr:cNvPr>
        <xdr:cNvGrpSpPr/>
      </xdr:nvGrpSpPr>
      <xdr:grpSpPr>
        <a:xfrm>
          <a:off x="0" y="0"/>
          <a:ext cx="2247195" cy="571500"/>
          <a:chOff x="0" y="0"/>
          <a:chExt cx="2243667" cy="571500"/>
        </a:xfrm>
      </xdr:grpSpPr>
      <xdr:pic>
        <xdr:nvPicPr>
          <xdr:cNvPr id="5" name="Imagen 1" descr="C:\Users\Julio Contreras.PC-Julio\Desktop\Logos AC Consulting\encabezado.jpg">
            <a:extLst>
              <a:ext uri="{FF2B5EF4-FFF2-40B4-BE49-F238E27FC236}">
                <a16:creationId xmlns:a16="http://schemas.microsoft.com/office/drawing/2014/main" id="{107A6095-98AF-140D-B900-9213301BFB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 name="Imagen 5">
            <a:extLst>
              <a:ext uri="{FF2B5EF4-FFF2-40B4-BE49-F238E27FC236}">
                <a16:creationId xmlns:a16="http://schemas.microsoft.com/office/drawing/2014/main" id="{E6C6FA02-22A8-9423-C2F2-00F6C3457065}"/>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2194278</xdr:colOff>
      <xdr:row>2</xdr:row>
      <xdr:rowOff>0</xdr:rowOff>
    </xdr:to>
    <xdr:sp macro="" textlink="">
      <xdr:nvSpPr>
        <xdr:cNvPr id="7" name="Recortar rectángulo de esquina del mismo lado 6">
          <a:extLst>
            <a:ext uri="{FF2B5EF4-FFF2-40B4-BE49-F238E27FC236}">
              <a16:creationId xmlns:a16="http://schemas.microsoft.com/office/drawing/2014/main" id="{8D6ED6DD-1F45-7A41-8F87-9D568E5E9A37}"/>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EMPRESAS PARTICIPANTES</a:t>
          </a:r>
          <a:endParaRPr lang="es-MX" sz="1400" i="1"/>
        </a:p>
      </xdr:txBody>
    </xdr:sp>
    <xdr:clientData/>
  </xdr:twoCellAnchor>
  <xdr:twoCellAnchor>
    <xdr:from>
      <xdr:col>4</xdr:col>
      <xdr:colOff>0</xdr:colOff>
      <xdr:row>3</xdr:row>
      <xdr:rowOff>0</xdr:rowOff>
    </xdr:from>
    <xdr:to>
      <xdr:col>9</xdr:col>
      <xdr:colOff>409221</xdr:colOff>
      <xdr:row>28</xdr:row>
      <xdr:rowOff>55316</xdr:rowOff>
    </xdr:to>
    <mc:AlternateContent xmlns:mc="http://schemas.openxmlformats.org/markup-compatibility/2006">
      <mc:Choice xmlns:cx1="http://schemas.microsoft.com/office/drawing/2015/9/8/chartex" Requires="cx1">
        <xdr:graphicFrame macro="">
          <xdr:nvGraphicFramePr>
            <xdr:cNvPr id="15" name="Gráfico 14">
              <a:extLst>
                <a:ext uri="{FF2B5EF4-FFF2-40B4-BE49-F238E27FC236}">
                  <a16:creationId xmlns:a16="http://schemas.microsoft.com/office/drawing/2014/main" id="{4666DB6E-FFA4-0A4D-A25D-12A55027B3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915400" y="1612900"/>
              <a:ext cx="4536721" cy="4767016"/>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0</xdr:col>
      <xdr:colOff>0</xdr:colOff>
      <xdr:row>3</xdr:row>
      <xdr:rowOff>0</xdr:rowOff>
    </xdr:from>
    <xdr:to>
      <xdr:col>2</xdr:col>
      <xdr:colOff>1128888</xdr:colOff>
      <xdr:row>28</xdr:row>
      <xdr:rowOff>55316</xdr:rowOff>
    </xdr:to>
    <mc:AlternateContent xmlns:mc="http://schemas.openxmlformats.org/markup-compatibility/2006">
      <mc:Choice xmlns:cx1="http://schemas.microsoft.com/office/drawing/2015/9/8/chartex" Requires="cx1">
        <xdr:graphicFrame macro="">
          <xdr:nvGraphicFramePr>
            <xdr:cNvPr id="16" name="Gráfico 15">
              <a:extLst>
                <a:ext uri="{FF2B5EF4-FFF2-40B4-BE49-F238E27FC236}">
                  <a16:creationId xmlns:a16="http://schemas.microsoft.com/office/drawing/2014/main" id="{B0880D8D-A7A2-E743-A4AE-2E9DC28416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1612900"/>
              <a:ext cx="8596488" cy="4767016"/>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8</xdr:col>
      <xdr:colOff>203200</xdr:colOff>
      <xdr:row>0</xdr:row>
      <xdr:rowOff>0</xdr:rowOff>
    </xdr:from>
    <xdr:to>
      <xdr:col>8</xdr:col>
      <xdr:colOff>495300</xdr:colOff>
      <xdr:row>0</xdr:row>
      <xdr:rowOff>304800</xdr:rowOff>
    </xdr:to>
    <xdr:pic>
      <xdr:nvPicPr>
        <xdr:cNvPr id="20" name="Picture 5">
          <a:hlinkClick xmlns:r="http://schemas.openxmlformats.org/officeDocument/2006/relationships" r:id="rId5"/>
          <a:extLst>
            <a:ext uri="{FF2B5EF4-FFF2-40B4-BE49-F238E27FC236}">
              <a16:creationId xmlns:a16="http://schemas.microsoft.com/office/drawing/2014/main" id="{6073F189-B1D5-5740-AD1D-9A400BE90E9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7505" t="1430" r="27486" b="34187"/>
        <a:stretch>
          <a:fillRect/>
        </a:stretch>
      </xdr:blipFill>
      <xdr:spPr bwMode="auto">
        <a:xfrm>
          <a:off x="15781867"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203200</xdr:colOff>
      <xdr:row>0</xdr:row>
      <xdr:rowOff>342900</xdr:rowOff>
    </xdr:from>
    <xdr:to>
      <xdr:col>8</xdr:col>
      <xdr:colOff>495300</xdr:colOff>
      <xdr:row>0</xdr:row>
      <xdr:rowOff>647700</xdr:rowOff>
    </xdr:to>
    <xdr:pic>
      <xdr:nvPicPr>
        <xdr:cNvPr id="21" name="Picture 5">
          <a:hlinkClick xmlns:r="http://schemas.openxmlformats.org/officeDocument/2006/relationships" r:id="rId7"/>
          <a:extLst>
            <a:ext uri="{FF2B5EF4-FFF2-40B4-BE49-F238E27FC236}">
              <a16:creationId xmlns:a16="http://schemas.microsoft.com/office/drawing/2014/main" id="{71716E2A-5B12-424E-8C5E-DFE83E3C400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7505" t="1430" r="27486" b="34187"/>
        <a:stretch>
          <a:fillRect/>
        </a:stretch>
      </xdr:blipFill>
      <xdr:spPr bwMode="auto">
        <a:xfrm>
          <a:off x="15781867"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450272</xdr:colOff>
      <xdr:row>0</xdr:row>
      <xdr:rowOff>11546</xdr:rowOff>
    </xdr:from>
    <xdr:to>
      <xdr:col>9</xdr:col>
      <xdr:colOff>804390</xdr:colOff>
      <xdr:row>0</xdr:row>
      <xdr:rowOff>727363</xdr:rowOff>
    </xdr:to>
    <xdr:sp macro="" textlink="">
      <xdr:nvSpPr>
        <xdr:cNvPr id="22" name="5 CuadroTexto">
          <a:extLst>
            <a:ext uri="{FF2B5EF4-FFF2-40B4-BE49-F238E27FC236}">
              <a16:creationId xmlns:a16="http://schemas.microsoft.com/office/drawing/2014/main" id="{17C2C077-19DF-B748-87AB-03A16469BA62}"/>
            </a:ext>
          </a:extLst>
        </xdr:cNvPr>
        <xdr:cNvSpPr txBox="1"/>
      </xdr:nvSpPr>
      <xdr:spPr>
        <a:xfrm>
          <a:off x="16028939" y="11546"/>
          <a:ext cx="1186673"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14</xdr:row>
      <xdr:rowOff>0</xdr:rowOff>
    </xdr:from>
    <xdr:to>
      <xdr:col>5</xdr:col>
      <xdr:colOff>582083</xdr:colOff>
      <xdr:row>16</xdr:row>
      <xdr:rowOff>372533</xdr:rowOff>
    </xdr:to>
    <xdr:grpSp>
      <xdr:nvGrpSpPr>
        <xdr:cNvPr id="5" name="Grupo 4">
          <a:extLst>
            <a:ext uri="{FF2B5EF4-FFF2-40B4-BE49-F238E27FC236}">
              <a16:creationId xmlns:a16="http://schemas.microsoft.com/office/drawing/2014/main" id="{E311633D-C6F5-A048-873B-43BB7BC0E411}"/>
            </a:ext>
          </a:extLst>
        </xdr:cNvPr>
        <xdr:cNvGrpSpPr/>
      </xdr:nvGrpSpPr>
      <xdr:grpSpPr>
        <a:xfrm>
          <a:off x="2402417" y="258233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65169271-8654-6A45-DDA1-2E83D5C95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905F394A-08FE-C5B6-F886-306672BC5EAB}"/>
              </a:ext>
            </a:extLst>
          </xdr:cNvPr>
          <xdr:cNvPicPr>
            <a:picLocks noChangeAspect="1"/>
          </xdr:cNvPicPr>
        </xdr:nvPicPr>
        <xdr:blipFill>
          <a:blip xmlns:r="http://schemas.openxmlformats.org/officeDocument/2006/relationships" r:embed="rId2"/>
          <a:stretch>
            <a:fillRect/>
          </a:stretch>
        </xdr:blipFill>
        <xdr:spPr>
          <a:xfrm>
            <a:off x="3757083" y="3937001"/>
            <a:ext cx="1767417" cy="597109"/>
          </a:xfrm>
          <a:prstGeom prst="rect">
            <a:avLst/>
          </a:prstGeom>
        </xdr:spPr>
      </xdr:pic>
    </xdr:grpSp>
    <xdr:clientData/>
  </xdr:twoCellAnchor>
  <xdr:twoCellAnchor editAs="oneCell">
    <xdr:from>
      <xdr:col>0</xdr:col>
      <xdr:colOff>0</xdr:colOff>
      <xdr:row>0</xdr:row>
      <xdr:rowOff>0</xdr:rowOff>
    </xdr:from>
    <xdr:to>
      <xdr:col>5</xdr:col>
      <xdr:colOff>742327</xdr:colOff>
      <xdr:row>9</xdr:row>
      <xdr:rowOff>179293</xdr:rowOff>
    </xdr:to>
    <xdr:pic>
      <xdr:nvPicPr>
        <xdr:cNvPr id="3" name="Picture 5" descr="Alamy_AAYK2P_PPT">
          <a:extLst>
            <a:ext uri="{FF2B5EF4-FFF2-40B4-BE49-F238E27FC236}">
              <a16:creationId xmlns:a16="http://schemas.microsoft.com/office/drawing/2014/main" id="{C48A7732-BCC9-D84F-8DD9-8F6F9CEB3942}"/>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0"/>
          <a:ext cx="5621244" cy="1989043"/>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xdr:from>
      <xdr:col>16</xdr:col>
      <xdr:colOff>203200</xdr:colOff>
      <xdr:row>0</xdr:row>
      <xdr:rowOff>0</xdr:rowOff>
    </xdr:from>
    <xdr:to>
      <xdr:col>16</xdr:col>
      <xdr:colOff>495300</xdr:colOff>
      <xdr:row>0</xdr:row>
      <xdr:rowOff>304800</xdr:rowOff>
    </xdr:to>
    <xdr:pic>
      <xdr:nvPicPr>
        <xdr:cNvPr id="2" name="Picture 5">
          <a:hlinkClick xmlns:r="http://schemas.openxmlformats.org/officeDocument/2006/relationships" r:id="rId1"/>
          <a:extLst>
            <a:ext uri="{FF2B5EF4-FFF2-40B4-BE49-F238E27FC236}">
              <a16:creationId xmlns:a16="http://schemas.microsoft.com/office/drawing/2014/main" id="{F73333A7-0CB5-814E-8186-68C738CC38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1717867"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203200</xdr:colOff>
      <xdr:row>0</xdr:row>
      <xdr:rowOff>342900</xdr:rowOff>
    </xdr:from>
    <xdr:to>
      <xdr:col>16</xdr:col>
      <xdr:colOff>495300</xdr:colOff>
      <xdr:row>0</xdr:row>
      <xdr:rowOff>647700</xdr:rowOff>
    </xdr:to>
    <xdr:pic>
      <xdr:nvPicPr>
        <xdr:cNvPr id="3" name="Picture 5">
          <a:hlinkClick xmlns:r="http://schemas.openxmlformats.org/officeDocument/2006/relationships" r:id="rId3"/>
          <a:extLst>
            <a:ext uri="{FF2B5EF4-FFF2-40B4-BE49-F238E27FC236}">
              <a16:creationId xmlns:a16="http://schemas.microsoft.com/office/drawing/2014/main" id="{66B608A3-4CDA-AB40-9120-E32632A685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1717867"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450271</xdr:colOff>
      <xdr:row>0</xdr:row>
      <xdr:rowOff>11546</xdr:rowOff>
    </xdr:from>
    <xdr:to>
      <xdr:col>18</xdr:col>
      <xdr:colOff>776111</xdr:colOff>
      <xdr:row>0</xdr:row>
      <xdr:rowOff>727363</xdr:rowOff>
    </xdr:to>
    <xdr:sp macro="" textlink="">
      <xdr:nvSpPr>
        <xdr:cNvPr id="4" name="5 CuadroTexto">
          <a:extLst>
            <a:ext uri="{FF2B5EF4-FFF2-40B4-BE49-F238E27FC236}">
              <a16:creationId xmlns:a16="http://schemas.microsoft.com/office/drawing/2014/main" id="{B4EC8477-101A-224F-BF66-664E548DD649}"/>
            </a:ext>
          </a:extLst>
        </xdr:cNvPr>
        <xdr:cNvSpPr txBox="1"/>
      </xdr:nvSpPr>
      <xdr:spPr>
        <a:xfrm>
          <a:off x="12487049" y="11546"/>
          <a:ext cx="1595840"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1</xdr:row>
      <xdr:rowOff>0</xdr:rowOff>
    </xdr:from>
    <xdr:to>
      <xdr:col>8</xdr:col>
      <xdr:colOff>585611</xdr:colOff>
      <xdr:row>2</xdr:row>
      <xdr:rowOff>0</xdr:rowOff>
    </xdr:to>
    <xdr:sp macro="" textlink="">
      <xdr:nvSpPr>
        <xdr:cNvPr id="11" name="Recortar rectángulo de esquina del mismo lado 10">
          <a:extLst>
            <a:ext uri="{FF2B5EF4-FFF2-40B4-BE49-F238E27FC236}">
              <a16:creationId xmlns:a16="http://schemas.microsoft.com/office/drawing/2014/main" id="{F5BCEA9C-EDE4-7B47-9D45-314318552AC3}"/>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DISTRIBUCIÓN DE LA COMPENSACIÓN TOTAL POR ELEMENTOS DE PAGO</a:t>
          </a:r>
          <a:endParaRPr lang="es-MX" sz="1400" i="1"/>
        </a:p>
      </xdr:txBody>
    </xdr:sp>
    <xdr:clientData/>
  </xdr:twoCellAnchor>
  <xdr:twoCellAnchor>
    <xdr:from>
      <xdr:col>0</xdr:col>
      <xdr:colOff>0</xdr:colOff>
      <xdr:row>0</xdr:row>
      <xdr:rowOff>0</xdr:rowOff>
    </xdr:from>
    <xdr:to>
      <xdr:col>1</xdr:col>
      <xdr:colOff>525639</xdr:colOff>
      <xdr:row>0</xdr:row>
      <xdr:rowOff>571500</xdr:rowOff>
    </xdr:to>
    <xdr:grpSp>
      <xdr:nvGrpSpPr>
        <xdr:cNvPr id="8" name="Grupo 7">
          <a:extLst>
            <a:ext uri="{FF2B5EF4-FFF2-40B4-BE49-F238E27FC236}">
              <a16:creationId xmlns:a16="http://schemas.microsoft.com/office/drawing/2014/main" id="{A919A378-6D67-D84B-BC52-BF261ADB9686}"/>
            </a:ext>
          </a:extLst>
        </xdr:cNvPr>
        <xdr:cNvGrpSpPr/>
      </xdr:nvGrpSpPr>
      <xdr:grpSpPr>
        <a:xfrm>
          <a:off x="0" y="0"/>
          <a:ext cx="2247195" cy="571500"/>
          <a:chOff x="0" y="0"/>
          <a:chExt cx="2243667" cy="571500"/>
        </a:xfrm>
      </xdr:grpSpPr>
      <xdr:pic>
        <xdr:nvPicPr>
          <xdr:cNvPr id="9" name="Imagen 1" descr="C:\Users\Julio Contreras.PC-Julio\Desktop\Logos AC Consulting\encabezado.jpg">
            <a:extLst>
              <a:ext uri="{FF2B5EF4-FFF2-40B4-BE49-F238E27FC236}">
                <a16:creationId xmlns:a16="http://schemas.microsoft.com/office/drawing/2014/main" id="{A8497CAC-D6E8-B975-FC0A-17D5D17E121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 name="Imagen 9">
            <a:extLst>
              <a:ext uri="{FF2B5EF4-FFF2-40B4-BE49-F238E27FC236}">
                <a16:creationId xmlns:a16="http://schemas.microsoft.com/office/drawing/2014/main" id="{725B8835-8259-3492-0673-6128965CBBE7}"/>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203888</xdr:colOff>
      <xdr:row>0</xdr:row>
      <xdr:rowOff>0</xdr:rowOff>
    </xdr:from>
    <xdr:to>
      <xdr:col>7</xdr:col>
      <xdr:colOff>495486</xdr:colOff>
      <xdr:row>0</xdr:row>
      <xdr:rowOff>305943</xdr:rowOff>
    </xdr:to>
    <xdr:pic>
      <xdr:nvPicPr>
        <xdr:cNvPr id="11" name="Picture 5">
          <a:hlinkClick xmlns:r="http://schemas.openxmlformats.org/officeDocument/2006/relationships" r:id="rId1"/>
          <a:extLst>
            <a:ext uri="{FF2B5EF4-FFF2-40B4-BE49-F238E27FC236}">
              <a16:creationId xmlns:a16="http://schemas.microsoft.com/office/drawing/2014/main" id="{CDCE8308-14D7-904A-9D22-6C25EAFEA8A2}"/>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2353555" y="0"/>
          <a:ext cx="291598" cy="305943"/>
        </a:xfrm>
        <a:prstGeom prst="rect">
          <a:avLst/>
        </a:prstGeom>
        <a:noFill/>
        <a:ln w="9525">
          <a:noFill/>
          <a:miter lim="800000"/>
          <a:headEnd/>
          <a:tailEnd/>
        </a:ln>
        <a:effectLst/>
      </xdr:spPr>
    </xdr:pic>
    <xdr:clientData/>
  </xdr:twoCellAnchor>
  <xdr:twoCellAnchor>
    <xdr:from>
      <xdr:col>7</xdr:col>
      <xdr:colOff>206197</xdr:colOff>
      <xdr:row>0</xdr:row>
      <xdr:rowOff>337127</xdr:rowOff>
    </xdr:from>
    <xdr:to>
      <xdr:col>7</xdr:col>
      <xdr:colOff>497795</xdr:colOff>
      <xdr:row>0</xdr:row>
      <xdr:rowOff>643070</xdr:rowOff>
    </xdr:to>
    <xdr:pic>
      <xdr:nvPicPr>
        <xdr:cNvPr id="12" name="Picture 5">
          <a:hlinkClick xmlns:r="http://schemas.openxmlformats.org/officeDocument/2006/relationships" r:id="rId3"/>
          <a:extLst>
            <a:ext uri="{FF2B5EF4-FFF2-40B4-BE49-F238E27FC236}">
              <a16:creationId xmlns:a16="http://schemas.microsoft.com/office/drawing/2014/main" id="{35E9745F-C27F-E941-AD82-55E19662874E}"/>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2355864" y="337127"/>
          <a:ext cx="291598" cy="305943"/>
        </a:xfrm>
        <a:prstGeom prst="rect">
          <a:avLst/>
        </a:prstGeom>
        <a:noFill/>
        <a:ln w="9525">
          <a:noFill/>
          <a:miter lim="800000"/>
          <a:headEnd/>
          <a:tailEnd/>
        </a:ln>
        <a:effectLst/>
      </xdr:spPr>
    </xdr:pic>
    <xdr:clientData/>
  </xdr:twoCellAnchor>
  <xdr:twoCellAnchor>
    <xdr:from>
      <xdr:col>7</xdr:col>
      <xdr:colOff>450273</xdr:colOff>
      <xdr:row>0</xdr:row>
      <xdr:rowOff>11546</xdr:rowOff>
    </xdr:from>
    <xdr:to>
      <xdr:col>9</xdr:col>
      <xdr:colOff>0</xdr:colOff>
      <xdr:row>0</xdr:row>
      <xdr:rowOff>727363</xdr:rowOff>
    </xdr:to>
    <xdr:sp macro="" textlink="">
      <xdr:nvSpPr>
        <xdr:cNvPr id="13" name="5 CuadroTexto">
          <a:extLst>
            <a:ext uri="{FF2B5EF4-FFF2-40B4-BE49-F238E27FC236}">
              <a16:creationId xmlns:a16="http://schemas.microsoft.com/office/drawing/2014/main" id="{4975C849-6E2E-7F44-8F97-D264F995D2AC}"/>
            </a:ext>
          </a:extLst>
        </xdr:cNvPr>
        <xdr:cNvSpPr txBox="1"/>
      </xdr:nvSpPr>
      <xdr:spPr>
        <a:xfrm>
          <a:off x="14490829" y="11546"/>
          <a:ext cx="1313615"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0</xdr:col>
      <xdr:colOff>2243667</xdr:colOff>
      <xdr:row>0</xdr:row>
      <xdr:rowOff>571500</xdr:rowOff>
    </xdr:to>
    <xdr:grpSp>
      <xdr:nvGrpSpPr>
        <xdr:cNvPr id="14" name="Grupo 13">
          <a:extLst>
            <a:ext uri="{FF2B5EF4-FFF2-40B4-BE49-F238E27FC236}">
              <a16:creationId xmlns:a16="http://schemas.microsoft.com/office/drawing/2014/main" id="{2F894214-4274-E54E-B4FE-BED42F9BB4E4}"/>
            </a:ext>
          </a:extLst>
        </xdr:cNvPr>
        <xdr:cNvGrpSpPr/>
      </xdr:nvGrpSpPr>
      <xdr:grpSpPr>
        <a:xfrm>
          <a:off x="0" y="0"/>
          <a:ext cx="2243667" cy="571500"/>
          <a:chOff x="0" y="0"/>
          <a:chExt cx="2243667" cy="571500"/>
        </a:xfrm>
      </xdr:grpSpPr>
      <xdr:pic>
        <xdr:nvPicPr>
          <xdr:cNvPr id="15" name="Imagen 1" descr="C:\Users\Julio Contreras.PC-Julio\Desktop\Logos AC Consulting\encabezado.jpg">
            <a:extLst>
              <a:ext uri="{FF2B5EF4-FFF2-40B4-BE49-F238E27FC236}">
                <a16:creationId xmlns:a16="http://schemas.microsoft.com/office/drawing/2014/main" id="{18CD0B16-3691-936B-CBD4-2167F607928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6" name="Imagen 15">
            <a:extLst>
              <a:ext uri="{FF2B5EF4-FFF2-40B4-BE49-F238E27FC236}">
                <a16:creationId xmlns:a16="http://schemas.microsoft.com/office/drawing/2014/main" id="{04D31B9A-D892-97B0-5FA5-EF65A95B3993}"/>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2589389</xdr:colOff>
      <xdr:row>2</xdr:row>
      <xdr:rowOff>0</xdr:rowOff>
    </xdr:to>
    <xdr:sp macro="" textlink="">
      <xdr:nvSpPr>
        <xdr:cNvPr id="20" name="Recortar rectángulo de esquina del mismo lado 19">
          <a:extLst>
            <a:ext uri="{FF2B5EF4-FFF2-40B4-BE49-F238E27FC236}">
              <a16:creationId xmlns:a16="http://schemas.microsoft.com/office/drawing/2014/main" id="{CB6F1B8E-7606-F348-811B-E7DD454F2462}"/>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MARKET ANALYZER</a:t>
          </a:r>
          <a:endParaRPr lang="es-MX" sz="1400" i="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203888</xdr:colOff>
      <xdr:row>0</xdr:row>
      <xdr:rowOff>0</xdr:rowOff>
    </xdr:from>
    <xdr:to>
      <xdr:col>7</xdr:col>
      <xdr:colOff>495486</xdr:colOff>
      <xdr:row>0</xdr:row>
      <xdr:rowOff>305943</xdr:rowOff>
    </xdr:to>
    <xdr:pic>
      <xdr:nvPicPr>
        <xdr:cNvPr id="2" name="Picture 5">
          <a:hlinkClick xmlns:r="http://schemas.openxmlformats.org/officeDocument/2006/relationships" r:id="rId1"/>
          <a:extLst>
            <a:ext uri="{FF2B5EF4-FFF2-40B4-BE49-F238E27FC236}">
              <a16:creationId xmlns:a16="http://schemas.microsoft.com/office/drawing/2014/main" id="{32379C47-5C82-434D-8D2D-174926A5AEEF}"/>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7247288" y="0"/>
          <a:ext cx="291598" cy="305943"/>
        </a:xfrm>
        <a:prstGeom prst="rect">
          <a:avLst/>
        </a:prstGeom>
        <a:noFill/>
        <a:ln w="9525">
          <a:noFill/>
          <a:miter lim="800000"/>
          <a:headEnd/>
          <a:tailEnd/>
        </a:ln>
        <a:effectLst/>
      </xdr:spPr>
    </xdr:pic>
    <xdr:clientData/>
  </xdr:twoCellAnchor>
  <xdr:twoCellAnchor>
    <xdr:from>
      <xdr:col>7</xdr:col>
      <xdr:colOff>206197</xdr:colOff>
      <xdr:row>0</xdr:row>
      <xdr:rowOff>337127</xdr:rowOff>
    </xdr:from>
    <xdr:to>
      <xdr:col>7</xdr:col>
      <xdr:colOff>497795</xdr:colOff>
      <xdr:row>0</xdr:row>
      <xdr:rowOff>643070</xdr:rowOff>
    </xdr:to>
    <xdr:pic>
      <xdr:nvPicPr>
        <xdr:cNvPr id="3" name="Picture 5">
          <a:hlinkClick xmlns:r="http://schemas.openxmlformats.org/officeDocument/2006/relationships" r:id="rId3"/>
          <a:extLst>
            <a:ext uri="{FF2B5EF4-FFF2-40B4-BE49-F238E27FC236}">
              <a16:creationId xmlns:a16="http://schemas.microsoft.com/office/drawing/2014/main" id="{C3E9AF36-9C49-1B49-86D7-E19278A74DDF}"/>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7249597" y="337127"/>
          <a:ext cx="291598" cy="305943"/>
        </a:xfrm>
        <a:prstGeom prst="rect">
          <a:avLst/>
        </a:prstGeom>
        <a:noFill/>
        <a:ln w="9525">
          <a:noFill/>
          <a:miter lim="800000"/>
          <a:headEnd/>
          <a:tailEnd/>
        </a:ln>
        <a:effectLst/>
      </xdr:spPr>
    </xdr:pic>
    <xdr:clientData/>
  </xdr:twoCellAnchor>
  <xdr:twoCellAnchor>
    <xdr:from>
      <xdr:col>7</xdr:col>
      <xdr:colOff>450273</xdr:colOff>
      <xdr:row>0</xdr:row>
      <xdr:rowOff>11546</xdr:rowOff>
    </xdr:from>
    <xdr:to>
      <xdr:col>9</xdr:col>
      <xdr:colOff>0</xdr:colOff>
      <xdr:row>0</xdr:row>
      <xdr:rowOff>727363</xdr:rowOff>
    </xdr:to>
    <xdr:sp macro="" textlink="">
      <xdr:nvSpPr>
        <xdr:cNvPr id="4" name="5 CuadroTexto">
          <a:extLst>
            <a:ext uri="{FF2B5EF4-FFF2-40B4-BE49-F238E27FC236}">
              <a16:creationId xmlns:a16="http://schemas.microsoft.com/office/drawing/2014/main" id="{4D13F256-85F5-C744-979C-5FC257A3CA17}"/>
            </a:ext>
          </a:extLst>
        </xdr:cNvPr>
        <xdr:cNvSpPr txBox="1"/>
      </xdr:nvSpPr>
      <xdr:spPr>
        <a:xfrm>
          <a:off x="17493673" y="11546"/>
          <a:ext cx="1302327"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1</xdr:row>
      <xdr:rowOff>0</xdr:rowOff>
    </xdr:from>
    <xdr:to>
      <xdr:col>5</xdr:col>
      <xdr:colOff>91722</xdr:colOff>
      <xdr:row>2</xdr:row>
      <xdr:rowOff>0</xdr:rowOff>
    </xdr:to>
    <xdr:sp macro="" textlink="">
      <xdr:nvSpPr>
        <xdr:cNvPr id="12" name="Recortar rectángulo de esquina del mismo lado 11">
          <a:extLst>
            <a:ext uri="{FF2B5EF4-FFF2-40B4-BE49-F238E27FC236}">
              <a16:creationId xmlns:a16="http://schemas.microsoft.com/office/drawing/2014/main" id="{6CAF10E3-9497-354B-86D2-1D968635AA63}"/>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EXPLICACIÓN TCR</a:t>
          </a:r>
          <a:endParaRPr lang="es-MX" sz="1400" i="1"/>
        </a:p>
      </xdr:txBody>
    </xdr:sp>
    <xdr:clientData/>
  </xdr:twoCellAnchor>
  <xdr:twoCellAnchor>
    <xdr:from>
      <xdr:col>0</xdr:col>
      <xdr:colOff>0</xdr:colOff>
      <xdr:row>0</xdr:row>
      <xdr:rowOff>0</xdr:rowOff>
    </xdr:from>
    <xdr:to>
      <xdr:col>2</xdr:col>
      <xdr:colOff>522111</xdr:colOff>
      <xdr:row>0</xdr:row>
      <xdr:rowOff>571500</xdr:rowOff>
    </xdr:to>
    <xdr:grpSp>
      <xdr:nvGrpSpPr>
        <xdr:cNvPr id="13" name="Grupo 12">
          <a:extLst>
            <a:ext uri="{FF2B5EF4-FFF2-40B4-BE49-F238E27FC236}">
              <a16:creationId xmlns:a16="http://schemas.microsoft.com/office/drawing/2014/main" id="{E1FF8C80-3758-D141-9936-9BD2802DC7DD}"/>
            </a:ext>
          </a:extLst>
        </xdr:cNvPr>
        <xdr:cNvGrpSpPr/>
      </xdr:nvGrpSpPr>
      <xdr:grpSpPr>
        <a:xfrm>
          <a:off x="0" y="0"/>
          <a:ext cx="2243667" cy="571500"/>
          <a:chOff x="0" y="0"/>
          <a:chExt cx="2243667" cy="571500"/>
        </a:xfrm>
      </xdr:grpSpPr>
      <xdr:pic>
        <xdr:nvPicPr>
          <xdr:cNvPr id="14" name="Imagen 1" descr="C:\Users\Julio Contreras.PC-Julio\Desktop\Logos AC Consulting\encabezado.jpg">
            <a:extLst>
              <a:ext uri="{FF2B5EF4-FFF2-40B4-BE49-F238E27FC236}">
                <a16:creationId xmlns:a16="http://schemas.microsoft.com/office/drawing/2014/main" id="{217A5F1C-7AAD-7BD5-C714-413F185E745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 name="Imagen 14">
            <a:extLst>
              <a:ext uri="{FF2B5EF4-FFF2-40B4-BE49-F238E27FC236}">
                <a16:creationId xmlns:a16="http://schemas.microsoft.com/office/drawing/2014/main" id="{CC3541ED-B5D1-B28A-DE1E-06B804F7420C}"/>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14</xdr:row>
      <xdr:rowOff>0</xdr:rowOff>
    </xdr:from>
    <xdr:to>
      <xdr:col>5</xdr:col>
      <xdr:colOff>582083</xdr:colOff>
      <xdr:row>16</xdr:row>
      <xdr:rowOff>372533</xdr:rowOff>
    </xdr:to>
    <xdr:grpSp>
      <xdr:nvGrpSpPr>
        <xdr:cNvPr id="5" name="Grupo 4">
          <a:extLst>
            <a:ext uri="{FF2B5EF4-FFF2-40B4-BE49-F238E27FC236}">
              <a16:creationId xmlns:a16="http://schemas.microsoft.com/office/drawing/2014/main" id="{A1232757-41BD-2945-87AE-953718EA0BFA}"/>
            </a:ext>
          </a:extLst>
        </xdr:cNvPr>
        <xdr:cNvGrpSpPr/>
      </xdr:nvGrpSpPr>
      <xdr:grpSpPr>
        <a:xfrm>
          <a:off x="2402417" y="258233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867C0992-9242-00F2-B0A1-3981BC7373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E011F169-7EAD-B1B4-6634-3EA3526B5D7B}"/>
              </a:ext>
            </a:extLst>
          </xdr:cNvPr>
          <xdr:cNvPicPr>
            <a:picLocks noChangeAspect="1"/>
          </xdr:cNvPicPr>
        </xdr:nvPicPr>
        <xdr:blipFill>
          <a:blip xmlns:r="http://schemas.openxmlformats.org/officeDocument/2006/relationships" r:embed="rId2"/>
          <a:stretch>
            <a:fillRect/>
          </a:stretch>
        </xdr:blipFill>
        <xdr:spPr>
          <a:xfrm>
            <a:off x="3757083" y="3937001"/>
            <a:ext cx="1767417" cy="597109"/>
          </a:xfrm>
          <a:prstGeom prst="rect">
            <a:avLst/>
          </a:prstGeom>
        </xdr:spPr>
      </xdr:pic>
    </xdr:grpSp>
    <xdr:clientData/>
  </xdr:twoCellAnchor>
  <xdr:twoCellAnchor editAs="oneCell">
    <xdr:from>
      <xdr:col>0</xdr:col>
      <xdr:colOff>0</xdr:colOff>
      <xdr:row>0</xdr:row>
      <xdr:rowOff>0</xdr:rowOff>
    </xdr:from>
    <xdr:to>
      <xdr:col>5</xdr:col>
      <xdr:colOff>742327</xdr:colOff>
      <xdr:row>9</xdr:row>
      <xdr:rowOff>179293</xdr:rowOff>
    </xdr:to>
    <xdr:pic>
      <xdr:nvPicPr>
        <xdr:cNvPr id="3" name="Picture 5" descr="Alamy_AAYK2P_PPT">
          <a:extLst>
            <a:ext uri="{FF2B5EF4-FFF2-40B4-BE49-F238E27FC236}">
              <a16:creationId xmlns:a16="http://schemas.microsoft.com/office/drawing/2014/main" id="{04B297A8-90F6-F74A-B539-75A61AD14153}"/>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0" y="0"/>
          <a:ext cx="5621244" cy="1989043"/>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348908</xdr:colOff>
      <xdr:row>0</xdr:row>
      <xdr:rowOff>804333</xdr:rowOff>
    </xdr:to>
    <xdr:pic>
      <xdr:nvPicPr>
        <xdr:cNvPr id="2" name="Imagen 1" descr="C:\Users\Julio Contreras.PC-Julio\Desktop\Logos AC Consulting\encabezado.jpg">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07241" cy="804333"/>
        </a:xfrm>
        <a:prstGeom prst="rect">
          <a:avLst/>
        </a:prstGeom>
        <a:noFill/>
        <a:ln>
          <a:noFill/>
        </a:ln>
      </xdr:spPr>
    </xdr:pic>
    <xdr:clientData/>
  </xdr:twoCellAnchor>
  <xdr:twoCellAnchor editAs="oneCell">
    <xdr:from>
      <xdr:col>6</xdr:col>
      <xdr:colOff>1454855</xdr:colOff>
      <xdr:row>1</xdr:row>
      <xdr:rowOff>23989</xdr:rowOff>
    </xdr:from>
    <xdr:to>
      <xdr:col>12</xdr:col>
      <xdr:colOff>715866</xdr:colOff>
      <xdr:row>32</xdr:row>
      <xdr:rowOff>35278</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10332155" y="938389"/>
          <a:ext cx="4937911" cy="6626578"/>
        </a:xfrm>
        <a:prstGeom prst="rect">
          <a:avLst/>
        </a:prstGeom>
      </xdr:spPr>
    </xdr:pic>
    <xdr:clientData/>
  </xdr:twoCellAnchor>
  <xdr:twoCellAnchor editAs="oneCell">
    <xdr:from>
      <xdr:col>12</xdr:col>
      <xdr:colOff>431800</xdr:colOff>
      <xdr:row>0</xdr:row>
      <xdr:rowOff>495300</xdr:rowOff>
    </xdr:from>
    <xdr:to>
      <xdr:col>12</xdr:col>
      <xdr:colOff>723900</xdr:colOff>
      <xdr:row>0</xdr:row>
      <xdr:rowOff>787400</xdr:rowOff>
    </xdr:to>
    <xdr:pic>
      <xdr:nvPicPr>
        <xdr:cNvPr id="5" name="Imagen 4">
          <a:hlinkClick xmlns:r="http://schemas.openxmlformats.org/officeDocument/2006/relationships" r:id="rId3"/>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86000" y="495300"/>
          <a:ext cx="292100" cy="292100"/>
        </a:xfrm>
        <a:prstGeom prst="rect">
          <a:avLst/>
        </a:prstGeom>
      </xdr:spPr>
    </xdr:pic>
    <xdr:clientData/>
  </xdr:twoCellAnchor>
  <xdr:twoCellAnchor>
    <xdr:from>
      <xdr:col>12</xdr:col>
      <xdr:colOff>419100</xdr:colOff>
      <xdr:row>0</xdr:row>
      <xdr:rowOff>88900</xdr:rowOff>
    </xdr:from>
    <xdr:to>
      <xdr:col>12</xdr:col>
      <xdr:colOff>710698</xdr:colOff>
      <xdr:row>0</xdr:row>
      <xdr:rowOff>394843</xdr:rowOff>
    </xdr:to>
    <xdr:pic>
      <xdr:nvPicPr>
        <xdr:cNvPr id="8" name="Picture 5">
          <a:hlinkClick xmlns:r="http://schemas.openxmlformats.org/officeDocument/2006/relationships" r:id="rId5"/>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6" cstate="print"/>
        <a:srcRect l="27505" t="1430" r="27486" b="34187"/>
        <a:stretch>
          <a:fillRect/>
        </a:stretch>
      </xdr:blipFill>
      <xdr:spPr bwMode="auto">
        <a:xfrm>
          <a:off x="14973300" y="88900"/>
          <a:ext cx="291598" cy="305943"/>
        </a:xfrm>
        <a:prstGeom prst="rect">
          <a:avLst/>
        </a:prstGeom>
        <a:noFill/>
        <a:ln w="9525">
          <a:noFill/>
          <a:miter lim="800000"/>
          <a:headEnd/>
          <a:tailEnd/>
        </a:ln>
        <a:effectLst/>
      </xdr:spPr>
    </xdr:pic>
    <xdr:clientData/>
  </xdr:twoCellAnchor>
  <xdr:twoCellAnchor>
    <xdr:from>
      <xdr:col>0</xdr:col>
      <xdr:colOff>0</xdr:colOff>
      <xdr:row>1</xdr:row>
      <xdr:rowOff>0</xdr:rowOff>
    </xdr:from>
    <xdr:to>
      <xdr:col>3</xdr:col>
      <xdr:colOff>1234722</xdr:colOff>
      <xdr:row>2</xdr:row>
      <xdr:rowOff>0</xdr:rowOff>
    </xdr:to>
    <xdr:sp macro="" textlink="">
      <xdr:nvSpPr>
        <xdr:cNvPr id="4" name="Recortar rectángulo de esquina del mismo lado 3">
          <a:extLst>
            <a:ext uri="{FF2B5EF4-FFF2-40B4-BE49-F238E27FC236}">
              <a16:creationId xmlns:a16="http://schemas.microsoft.com/office/drawing/2014/main" id="{B75CB037-A7A7-D548-B6AF-A273B1CA2DF7}"/>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ACERCA DE AC CONSULTING</a:t>
          </a:r>
          <a:endParaRPr lang="es-MX" sz="1400" i="1"/>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203888</xdr:colOff>
      <xdr:row>0</xdr:row>
      <xdr:rowOff>0</xdr:rowOff>
    </xdr:from>
    <xdr:to>
      <xdr:col>12</xdr:col>
      <xdr:colOff>495486</xdr:colOff>
      <xdr:row>0</xdr:row>
      <xdr:rowOff>305943</xdr:rowOff>
    </xdr:to>
    <xdr:pic>
      <xdr:nvPicPr>
        <xdr:cNvPr id="10" name="Picture 5">
          <a:hlinkClick xmlns:r="http://schemas.openxmlformats.org/officeDocument/2006/relationships" r:id="rId1"/>
          <a:extLst>
            <a:ext uri="{FF2B5EF4-FFF2-40B4-BE49-F238E27FC236}">
              <a16:creationId xmlns:a16="http://schemas.microsoft.com/office/drawing/2014/main" id="{00000000-0008-0000-0E00-00000A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6650388" y="0"/>
          <a:ext cx="291598" cy="305943"/>
        </a:xfrm>
        <a:prstGeom prst="rect">
          <a:avLst/>
        </a:prstGeom>
        <a:noFill/>
        <a:ln w="9525">
          <a:noFill/>
          <a:miter lim="800000"/>
          <a:headEnd/>
          <a:tailEnd/>
        </a:ln>
        <a:effectLst/>
      </xdr:spPr>
    </xdr:pic>
    <xdr:clientData/>
  </xdr:twoCellAnchor>
  <xdr:twoCellAnchor>
    <xdr:from>
      <xdr:col>12</xdr:col>
      <xdr:colOff>206197</xdr:colOff>
      <xdr:row>0</xdr:row>
      <xdr:rowOff>337127</xdr:rowOff>
    </xdr:from>
    <xdr:to>
      <xdr:col>12</xdr:col>
      <xdr:colOff>497795</xdr:colOff>
      <xdr:row>0</xdr:row>
      <xdr:rowOff>643070</xdr:rowOff>
    </xdr:to>
    <xdr:pic>
      <xdr:nvPicPr>
        <xdr:cNvPr id="11" name="Picture 5">
          <a:hlinkClick xmlns:r="http://schemas.openxmlformats.org/officeDocument/2006/relationships" r:id="rId3"/>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2" cstate="print"/>
        <a:srcRect l="27505" t="1430" r="27486" b="34187"/>
        <a:stretch>
          <a:fillRect/>
        </a:stretch>
      </xdr:blipFill>
      <xdr:spPr bwMode="auto">
        <a:xfrm>
          <a:off x="16652697" y="337127"/>
          <a:ext cx="291598" cy="305943"/>
        </a:xfrm>
        <a:prstGeom prst="rect">
          <a:avLst/>
        </a:prstGeom>
        <a:noFill/>
        <a:ln w="9525">
          <a:noFill/>
          <a:miter lim="800000"/>
          <a:headEnd/>
          <a:tailEnd/>
        </a:ln>
        <a:effec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2" name="5 CuadroTexto">
          <a:extLst>
            <a:ext uri="{FF2B5EF4-FFF2-40B4-BE49-F238E27FC236}">
              <a16:creationId xmlns:a16="http://schemas.microsoft.com/office/drawing/2014/main" id="{00000000-0008-0000-0E00-00000C000000}"/>
            </a:ext>
          </a:extLst>
        </xdr:cNvPr>
        <xdr:cNvSpPr txBox="1"/>
      </xdr:nvSpPr>
      <xdr:spPr>
        <a:xfrm>
          <a:off x="16896772" y="11546"/>
          <a:ext cx="22464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3</xdr:col>
      <xdr:colOff>437445</xdr:colOff>
      <xdr:row>0</xdr:row>
      <xdr:rowOff>571500</xdr:rowOff>
    </xdr:to>
    <xdr:grpSp>
      <xdr:nvGrpSpPr>
        <xdr:cNvPr id="5" name="Grupo 4">
          <a:extLst>
            <a:ext uri="{FF2B5EF4-FFF2-40B4-BE49-F238E27FC236}">
              <a16:creationId xmlns:a16="http://schemas.microsoft.com/office/drawing/2014/main" id="{F8B49417-DFF6-F341-983D-253FFD798D8E}"/>
            </a:ext>
          </a:extLst>
        </xdr:cNvPr>
        <xdr:cNvGrpSpPr/>
      </xdr:nvGrpSpPr>
      <xdr:grpSpPr>
        <a:xfrm>
          <a:off x="0" y="0"/>
          <a:ext cx="2243667" cy="571500"/>
          <a:chOff x="0" y="0"/>
          <a:chExt cx="2243667" cy="571500"/>
        </a:xfrm>
      </xdr:grpSpPr>
      <xdr:pic>
        <xdr:nvPicPr>
          <xdr:cNvPr id="6" name="Imagen 1" descr="C:\Users\Julio Contreras.PC-Julio\Desktop\Logos AC Consulting\encabezado.jpg">
            <a:extLst>
              <a:ext uri="{FF2B5EF4-FFF2-40B4-BE49-F238E27FC236}">
                <a16:creationId xmlns:a16="http://schemas.microsoft.com/office/drawing/2014/main" id="{2995D8B4-7F52-67CE-427B-F39A5BA0B6E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DFF0FBB1-25B5-3DEC-F82A-900821EBDB41}"/>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6</xdr:col>
      <xdr:colOff>162278</xdr:colOff>
      <xdr:row>2</xdr:row>
      <xdr:rowOff>0</xdr:rowOff>
    </xdr:to>
    <xdr:sp macro="" textlink="">
      <xdr:nvSpPr>
        <xdr:cNvPr id="2" name="Recortar rectángulo de esquina del mismo lado 1">
          <a:extLst>
            <a:ext uri="{FF2B5EF4-FFF2-40B4-BE49-F238E27FC236}">
              <a16:creationId xmlns:a16="http://schemas.microsoft.com/office/drawing/2014/main" id="{D10BF210-B800-384D-9C42-7D916B39A388}"/>
            </a:ext>
          </a:extLst>
        </xdr:cNvPr>
        <xdr:cNvSpPr/>
      </xdr:nvSpPr>
      <xdr:spPr>
        <a:xfrm rot="5400000">
          <a:off x="2762250" y="-1845028"/>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PORTAFOLIO DE PRODUCTOS</a:t>
          </a:r>
          <a:endParaRPr lang="es-MX" sz="1400" i="1"/>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590550</xdr:colOff>
      <xdr:row>0</xdr:row>
      <xdr:rowOff>317500</xdr:rowOff>
    </xdr:from>
    <xdr:to>
      <xdr:col>3</xdr:col>
      <xdr:colOff>722608</xdr:colOff>
      <xdr:row>10</xdr:row>
      <xdr:rowOff>127000</xdr:rowOff>
    </xdr:to>
    <xdr:pic>
      <xdr:nvPicPr>
        <xdr:cNvPr id="2" name="Imagen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 y="317500"/>
          <a:ext cx="2608558" cy="259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523876</xdr:colOff>
      <xdr:row>0</xdr:row>
      <xdr:rowOff>47626</xdr:rowOff>
    </xdr:from>
    <xdr:to>
      <xdr:col>9</xdr:col>
      <xdr:colOff>346792</xdr:colOff>
      <xdr:row>10</xdr:row>
      <xdr:rowOff>114300</xdr:rowOff>
    </xdr:to>
    <xdr:sp macro="" textlink="">
      <xdr:nvSpPr>
        <xdr:cNvPr id="3" name="Rectángulo redondeado 2">
          <a:extLst>
            <a:ext uri="{FF2B5EF4-FFF2-40B4-BE49-F238E27FC236}">
              <a16:creationId xmlns:a16="http://schemas.microsoft.com/office/drawing/2014/main" id="{00000000-0008-0000-0F00-000003000000}"/>
            </a:ext>
          </a:extLst>
        </xdr:cNvPr>
        <xdr:cNvSpPr/>
      </xdr:nvSpPr>
      <xdr:spPr>
        <a:xfrm>
          <a:off x="3825876" y="47626"/>
          <a:ext cx="3950416" cy="2847974"/>
        </a:xfrm>
        <a:prstGeom prst="roundRect">
          <a:avLst/>
        </a:prstGeom>
        <a:solidFill>
          <a:srgbClr val="0A29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s-ES" sz="1800">
              <a:latin typeface="Century Gothic" panose="020B0502020202020204" pitchFamily="34" charset="0"/>
            </a:rPr>
            <a:t>www.acconsult.net</a:t>
          </a:r>
        </a:p>
        <a:p>
          <a:pPr algn="ctr" eaLnBrk="1" fontAlgn="auto" hangingPunct="1">
            <a:spcBef>
              <a:spcPts val="0"/>
            </a:spcBef>
            <a:spcAft>
              <a:spcPts val="0"/>
            </a:spcAft>
            <a:defRPr/>
          </a:pPr>
          <a:r>
            <a:rPr lang="es-ES" sz="1800">
              <a:latin typeface="Century Gothic" panose="020B0502020202020204" pitchFamily="34" charset="0"/>
            </a:rPr>
            <a:t>contacto@acconsult.net</a:t>
          </a:r>
        </a:p>
        <a:p>
          <a:pPr algn="ctr" eaLnBrk="1" fontAlgn="auto" hangingPunct="1">
            <a:spcBef>
              <a:spcPts val="0"/>
            </a:spcBef>
            <a:spcAft>
              <a:spcPts val="0"/>
            </a:spcAft>
            <a:defRPr/>
          </a:pPr>
          <a:endParaRPr lang="es-CO" sz="1800">
            <a:solidFill>
              <a:schemeClr val="bg1"/>
            </a:solidFill>
          </a:endParaRPr>
        </a:p>
        <a:p>
          <a:pPr algn="ctr" eaLnBrk="1" fontAlgn="auto" hangingPunct="1">
            <a:spcBef>
              <a:spcPts val="0"/>
            </a:spcBef>
            <a:spcAft>
              <a:spcPts val="0"/>
            </a:spcAft>
            <a:defRPr/>
          </a:pPr>
          <a:r>
            <a:rPr lang="es-CO" sz="1800">
              <a:solidFill>
                <a:schemeClr val="bg1"/>
              </a:solidFill>
            </a:rPr>
            <a:t>Av. La Estancia, CCC Tamanaco, Pirámide Invertida, Piso 5, Oficina 503</a:t>
          </a:r>
        </a:p>
        <a:p>
          <a:pPr algn="ctr" eaLnBrk="1" fontAlgn="auto" hangingPunct="1">
            <a:spcBef>
              <a:spcPts val="0"/>
            </a:spcBef>
            <a:spcAft>
              <a:spcPts val="0"/>
            </a:spcAft>
            <a:defRPr/>
          </a:pPr>
          <a:br>
            <a:rPr lang="es-CO" sz="1800">
              <a:solidFill>
                <a:schemeClr val="bg1"/>
              </a:solidFill>
            </a:rPr>
          </a:br>
          <a:r>
            <a:rPr lang="es-CO" sz="1800">
              <a:solidFill>
                <a:schemeClr val="bg1"/>
              </a:solidFill>
            </a:rPr>
            <a:t>Caracas – Venezuela</a:t>
          </a:r>
          <a:endParaRPr lang="es-VE" sz="1800" i="1"/>
        </a:p>
      </xdr:txBody>
    </xdr:sp>
    <xdr:clientData/>
  </xdr:twoCellAnchor>
  <xdr:twoCellAnchor>
    <xdr:from>
      <xdr:col>4</xdr:col>
      <xdr:colOff>508000</xdr:colOff>
      <xdr:row>11</xdr:row>
      <xdr:rowOff>95250</xdr:rowOff>
    </xdr:from>
    <xdr:to>
      <xdr:col>9</xdr:col>
      <xdr:colOff>317499</xdr:colOff>
      <xdr:row>25</xdr:row>
      <xdr:rowOff>26368</xdr:rowOff>
    </xdr:to>
    <xdr:sp macro="" textlink="">
      <xdr:nvSpPr>
        <xdr:cNvPr id="8" name="Rectángulo redondeado 2">
          <a:extLst>
            <a:ext uri="{FF2B5EF4-FFF2-40B4-BE49-F238E27FC236}">
              <a16:creationId xmlns:a16="http://schemas.microsoft.com/office/drawing/2014/main" id="{00000000-0008-0000-0F00-000008000000}"/>
            </a:ext>
          </a:extLst>
        </xdr:cNvPr>
        <xdr:cNvSpPr/>
      </xdr:nvSpPr>
      <xdr:spPr>
        <a:xfrm>
          <a:off x="3810000" y="3079750"/>
          <a:ext cx="3936999" cy="2775918"/>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spcBef>
              <a:spcPts val="0"/>
            </a:spcBef>
            <a:spcAft>
              <a:spcPts val="0"/>
            </a:spcAft>
            <a:defRPr/>
          </a:pPr>
          <a:r>
            <a:rPr lang="es-ES" sz="1800">
              <a:latin typeface="Century Gothic" panose="020B0502020202020204" pitchFamily="34" charset="0"/>
            </a:rPr>
            <a:t>www.avgh.org.ve</a:t>
          </a:r>
        </a:p>
        <a:p>
          <a:pPr algn="ctr" eaLnBrk="1" fontAlgn="auto" hangingPunct="1">
            <a:spcBef>
              <a:spcPts val="0"/>
            </a:spcBef>
            <a:spcAft>
              <a:spcPts val="0"/>
            </a:spcAft>
            <a:defRPr/>
          </a:pPr>
          <a:r>
            <a:rPr lang="es-ES" sz="1800">
              <a:latin typeface="Century Gothic" panose="020B0502020202020204" pitchFamily="34" charset="0"/>
            </a:rPr>
            <a:t>informacion@avgh.org.ve</a:t>
          </a:r>
        </a:p>
        <a:p>
          <a:pPr algn="ctr" eaLnBrk="1" fontAlgn="auto" hangingPunct="1">
            <a:spcBef>
              <a:spcPts val="0"/>
            </a:spcBef>
            <a:spcAft>
              <a:spcPts val="0"/>
            </a:spcAft>
            <a:defRPr/>
          </a:pPr>
          <a:endParaRPr lang="es-CO" sz="1800">
            <a:solidFill>
              <a:schemeClr val="bg1"/>
            </a:solidFill>
          </a:endParaRPr>
        </a:p>
        <a:p>
          <a:pPr algn="ctr" eaLnBrk="1" fontAlgn="auto" hangingPunct="1">
            <a:spcBef>
              <a:spcPts val="0"/>
            </a:spcBef>
            <a:spcAft>
              <a:spcPts val="0"/>
            </a:spcAft>
            <a:defRPr/>
          </a:pPr>
          <a:r>
            <a:rPr lang="es-CO" sz="1800">
              <a:solidFill>
                <a:schemeClr val="bg1"/>
              </a:solidFill>
            </a:rPr>
            <a:t>Av. Venezuela</a:t>
          </a:r>
          <a:r>
            <a:rPr lang="es-CO" sz="1800" baseline="0">
              <a:solidFill>
                <a:schemeClr val="bg1"/>
              </a:solidFill>
            </a:rPr>
            <a:t> de Bello Monte CC El Recreo, Torre sur, Piso 9 Ofc. 9-7</a:t>
          </a:r>
          <a:endParaRPr lang="es-CO" sz="1800">
            <a:solidFill>
              <a:schemeClr val="bg1"/>
            </a:solidFill>
          </a:endParaRPr>
        </a:p>
        <a:p>
          <a:pPr algn="ctr" eaLnBrk="1" fontAlgn="auto" hangingPunct="1">
            <a:spcBef>
              <a:spcPts val="0"/>
            </a:spcBef>
            <a:spcAft>
              <a:spcPts val="0"/>
            </a:spcAft>
            <a:defRPr/>
          </a:pPr>
          <a:br>
            <a:rPr lang="es-CO" sz="1800">
              <a:solidFill>
                <a:schemeClr val="bg1"/>
              </a:solidFill>
            </a:rPr>
          </a:br>
          <a:r>
            <a:rPr lang="es-CO" sz="1800">
              <a:solidFill>
                <a:schemeClr val="bg1"/>
              </a:solidFill>
            </a:rPr>
            <a:t>Caracas – Venezuela</a:t>
          </a:r>
          <a:endParaRPr lang="es-VE" sz="1800" i="1"/>
        </a:p>
      </xdr:txBody>
    </xdr:sp>
    <xdr:clientData/>
  </xdr:twoCellAnchor>
  <xdr:twoCellAnchor>
    <xdr:from>
      <xdr:col>12</xdr:col>
      <xdr:colOff>203888</xdr:colOff>
      <xdr:row>0</xdr:row>
      <xdr:rowOff>0</xdr:rowOff>
    </xdr:from>
    <xdr:to>
      <xdr:col>12</xdr:col>
      <xdr:colOff>495486</xdr:colOff>
      <xdr:row>0</xdr:row>
      <xdr:rowOff>305943</xdr:rowOff>
    </xdr:to>
    <xdr:pic>
      <xdr:nvPicPr>
        <xdr:cNvPr id="17" name="Picture 5">
          <a:hlinkClick xmlns:r="http://schemas.openxmlformats.org/officeDocument/2006/relationships" r:id="rId2"/>
          <a:extLst>
            <a:ext uri="{FF2B5EF4-FFF2-40B4-BE49-F238E27FC236}">
              <a16:creationId xmlns:a16="http://schemas.microsoft.com/office/drawing/2014/main" id="{00000000-0008-0000-0F00-000011000000}"/>
            </a:ext>
          </a:extLst>
        </xdr:cNvPr>
        <xdr:cNvPicPr>
          <a:picLocks noChangeAspect="1" noChangeArrowheads="1"/>
        </xdr:cNvPicPr>
      </xdr:nvPicPr>
      <xdr:blipFill>
        <a:blip xmlns:r="http://schemas.openxmlformats.org/officeDocument/2006/relationships" r:embed="rId3" cstate="print"/>
        <a:srcRect l="27505" t="1430" r="27486" b="34187"/>
        <a:stretch>
          <a:fillRect/>
        </a:stretch>
      </xdr:blipFill>
      <xdr:spPr bwMode="auto">
        <a:xfrm>
          <a:off x="12027588" y="0"/>
          <a:ext cx="291598" cy="305943"/>
        </a:xfrm>
        <a:prstGeom prst="rect">
          <a:avLst/>
        </a:prstGeom>
        <a:noFill/>
        <a:ln w="9525">
          <a:noFill/>
          <a:miter lim="800000"/>
          <a:headEnd/>
          <a:tailEnd/>
        </a:ln>
        <a:effectLst/>
      </xdr:spPr>
    </xdr:pic>
    <xdr:clientData/>
  </xdr:twoCellAnchor>
  <xdr:twoCellAnchor>
    <xdr:from>
      <xdr:col>12</xdr:col>
      <xdr:colOff>206197</xdr:colOff>
      <xdr:row>0</xdr:row>
      <xdr:rowOff>337127</xdr:rowOff>
    </xdr:from>
    <xdr:to>
      <xdr:col>12</xdr:col>
      <xdr:colOff>497795</xdr:colOff>
      <xdr:row>0</xdr:row>
      <xdr:rowOff>643070</xdr:rowOff>
    </xdr:to>
    <xdr:pic>
      <xdr:nvPicPr>
        <xdr:cNvPr id="18" name="Picture 5">
          <a:hlinkClick xmlns:r="http://schemas.openxmlformats.org/officeDocument/2006/relationships" r:id="rId4"/>
          <a:extLst>
            <a:ext uri="{FF2B5EF4-FFF2-40B4-BE49-F238E27FC236}">
              <a16:creationId xmlns:a16="http://schemas.microsoft.com/office/drawing/2014/main" id="{00000000-0008-0000-0F00-000012000000}"/>
            </a:ext>
          </a:extLst>
        </xdr:cNvPr>
        <xdr:cNvPicPr>
          <a:picLocks noChangeAspect="1" noChangeArrowheads="1"/>
        </xdr:cNvPicPr>
      </xdr:nvPicPr>
      <xdr:blipFill>
        <a:blip xmlns:r="http://schemas.openxmlformats.org/officeDocument/2006/relationships" r:embed="rId3" cstate="print"/>
        <a:srcRect l="27505" t="1430" r="27486" b="34187"/>
        <a:stretch>
          <a:fillRect/>
        </a:stretch>
      </xdr:blipFill>
      <xdr:spPr bwMode="auto">
        <a:xfrm>
          <a:off x="12029897" y="337127"/>
          <a:ext cx="291598" cy="305943"/>
        </a:xfrm>
        <a:prstGeom prst="rect">
          <a:avLst/>
        </a:prstGeom>
        <a:noFill/>
        <a:ln w="9525">
          <a:noFill/>
          <a:miter lim="800000"/>
          <a:headEnd/>
          <a:tailEnd/>
        </a:ln>
        <a:effec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9" name="5 CuadroTexto">
          <a:extLst>
            <a:ext uri="{FF2B5EF4-FFF2-40B4-BE49-F238E27FC236}">
              <a16:creationId xmlns:a16="http://schemas.microsoft.com/office/drawing/2014/main" id="{00000000-0008-0000-0F00-000013000000}"/>
            </a:ext>
          </a:extLst>
        </xdr:cNvPr>
        <xdr:cNvSpPr txBox="1"/>
      </xdr:nvSpPr>
      <xdr:spPr>
        <a:xfrm>
          <a:off x="122739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editAs="oneCell">
    <xdr:from>
      <xdr:col>0</xdr:col>
      <xdr:colOff>451555</xdr:colOff>
      <xdr:row>16</xdr:row>
      <xdr:rowOff>0</xdr:rowOff>
    </xdr:from>
    <xdr:to>
      <xdr:col>3</xdr:col>
      <xdr:colOff>677331</xdr:colOff>
      <xdr:row>20</xdr:row>
      <xdr:rowOff>129873</xdr:rowOff>
    </xdr:to>
    <xdr:pic>
      <xdr:nvPicPr>
        <xdr:cNvPr id="4" name="Imagen 3">
          <a:extLst>
            <a:ext uri="{FF2B5EF4-FFF2-40B4-BE49-F238E27FC236}">
              <a16:creationId xmlns:a16="http://schemas.microsoft.com/office/drawing/2014/main" id="{AEE89C09-4CBA-4A44-9561-7EE4444A8A1B}"/>
            </a:ext>
          </a:extLst>
        </xdr:cNvPr>
        <xdr:cNvPicPr>
          <a:picLocks noChangeAspect="1"/>
        </xdr:cNvPicPr>
      </xdr:nvPicPr>
      <xdr:blipFill>
        <a:blip xmlns:r="http://schemas.openxmlformats.org/officeDocument/2006/relationships" r:embed="rId5"/>
        <a:stretch>
          <a:fillRect/>
        </a:stretch>
      </xdr:blipFill>
      <xdr:spPr>
        <a:xfrm>
          <a:off x="451555" y="3922889"/>
          <a:ext cx="2723443" cy="920095"/>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837E-C0F3-D547-A4D9-479A120051B4}">
  <dimension ref="A12:F23"/>
  <sheetViews>
    <sheetView showGridLines="0" tabSelected="1" zoomScale="120" zoomScaleNormal="120" workbookViewId="0"/>
  </sheetViews>
  <sheetFormatPr baseColWidth="10" defaultColWidth="10.83203125" defaultRowHeight="16" x14ac:dyDescent="0.2"/>
  <cols>
    <col min="1" max="1" width="20.6640625" style="1" customWidth="1"/>
    <col min="2" max="16384" width="10.83203125" style="1"/>
  </cols>
  <sheetData>
    <row r="12" spans="1:6" ht="21" x14ac:dyDescent="0.25">
      <c r="A12" s="113"/>
      <c r="B12" s="113"/>
      <c r="C12" s="113"/>
      <c r="D12" s="113"/>
      <c r="E12" s="113"/>
      <c r="F12" s="113"/>
    </row>
    <row r="13" spans="1:6" ht="5" customHeight="1" x14ac:dyDescent="0.25">
      <c r="A13" s="36"/>
      <c r="B13" s="38"/>
      <c r="C13" s="36"/>
      <c r="D13" s="36"/>
      <c r="E13" s="36"/>
      <c r="F13" s="37"/>
    </row>
    <row r="14" spans="1:6" ht="21" x14ac:dyDescent="0.25">
      <c r="A14" s="36" t="s">
        <v>0</v>
      </c>
      <c r="B14" s="38"/>
      <c r="C14" s="38"/>
      <c r="D14" s="38"/>
      <c r="E14" s="38"/>
      <c r="F14" s="37"/>
    </row>
    <row r="15" spans="1:6" ht="5" customHeight="1" x14ac:dyDescent="0.25">
      <c r="A15" s="36"/>
      <c r="B15" s="38"/>
      <c r="C15" s="36"/>
      <c r="D15" s="36"/>
      <c r="E15" s="36"/>
      <c r="F15" s="37"/>
    </row>
    <row r="16" spans="1:6" ht="21" x14ac:dyDescent="0.25">
      <c r="A16" s="36" t="s">
        <v>91</v>
      </c>
      <c r="B16" s="38"/>
      <c r="C16" s="38"/>
      <c r="D16" s="38"/>
      <c r="E16" s="38"/>
      <c r="F16" s="37"/>
    </row>
    <row r="17" spans="1:6" ht="5" customHeight="1" x14ac:dyDescent="0.2"/>
    <row r="18" spans="1:6" ht="21" x14ac:dyDescent="0.25">
      <c r="A18" s="36"/>
      <c r="B18" s="38"/>
    </row>
    <row r="19" spans="1:6" ht="21" x14ac:dyDescent="0.25">
      <c r="A19" s="36"/>
      <c r="B19" s="38"/>
    </row>
    <row r="20" spans="1:6" ht="21" x14ac:dyDescent="0.25">
      <c r="A20" s="36"/>
      <c r="B20" s="38"/>
    </row>
    <row r="23" spans="1:6" ht="17" thickBot="1" x14ac:dyDescent="0.25">
      <c r="A23" s="26"/>
      <c r="B23" s="26"/>
      <c r="C23" s="26"/>
      <c r="D23" s="26"/>
      <c r="E23" s="26"/>
      <c r="F23" s="26"/>
    </row>
  </sheetData>
  <sheetProtection selectLockedCells="1" selectUnlockedCells="1"/>
  <mergeCells count="1">
    <mergeCell ref="A12:F12"/>
  </mergeCells>
  <pageMargins left="0.7" right="0.7" top="0.75" bottom="0.75" header="0.3" footer="0.3"/>
  <pageSetup paperSize="9"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M38"/>
  <sheetViews>
    <sheetView showGridLines="0" zoomScale="90" zoomScaleNormal="90" workbookViewId="0"/>
  </sheetViews>
  <sheetFormatPr baseColWidth="10" defaultColWidth="10.83203125" defaultRowHeight="16" x14ac:dyDescent="0.2"/>
  <cols>
    <col min="1" max="3" width="1.83203125" style="4" customWidth="1"/>
    <col min="4" max="6" width="1.83203125" style="5" customWidth="1"/>
    <col min="7" max="9" width="10.83203125" style="5"/>
    <col min="10" max="10" width="8.6640625" style="5" customWidth="1"/>
    <col min="11" max="11" width="2.6640625" style="5" customWidth="1"/>
    <col min="12" max="12" width="10.83203125" style="5"/>
    <col min="13" max="16384" width="10.83203125" style="1"/>
  </cols>
  <sheetData>
    <row r="1" spans="3:13" ht="72" customHeight="1" x14ac:dyDescent="0.2">
      <c r="J1" s="115" t="s">
        <v>134</v>
      </c>
      <c r="K1" s="116"/>
      <c r="L1" s="114"/>
      <c r="M1" s="114"/>
    </row>
    <row r="2" spans="3:13" ht="40" customHeight="1" x14ac:dyDescent="0.2">
      <c r="C2" s="54"/>
      <c r="D2" s="54"/>
      <c r="E2" s="54"/>
      <c r="F2" s="54"/>
      <c r="G2" s="54"/>
      <c r="H2" s="54"/>
      <c r="I2" s="54"/>
      <c r="J2" s="54"/>
      <c r="K2" s="54"/>
      <c r="L2" s="54"/>
      <c r="M2" s="54"/>
    </row>
    <row r="3" spans="3:13" ht="15.75" customHeight="1" x14ac:dyDescent="0.2">
      <c r="C3" s="25"/>
      <c r="D3" s="25"/>
      <c r="E3" s="25"/>
      <c r="F3" s="25"/>
      <c r="G3" s="25"/>
      <c r="H3" s="25"/>
      <c r="I3" s="25"/>
      <c r="J3" s="25"/>
      <c r="K3" s="25"/>
      <c r="L3" s="25"/>
      <c r="M3" s="25"/>
    </row>
    <row r="4" spans="3:13" ht="15.75" customHeight="1" x14ac:dyDescent="0.2">
      <c r="C4" s="25"/>
      <c r="D4" s="25"/>
      <c r="E4" s="25"/>
      <c r="F4" s="25"/>
      <c r="G4" s="25"/>
      <c r="H4" s="25"/>
      <c r="I4" s="25"/>
      <c r="J4" s="25"/>
      <c r="K4" s="25"/>
      <c r="L4" s="25"/>
      <c r="M4" s="25"/>
    </row>
    <row r="5" spans="3:13" ht="15.75" customHeight="1" x14ac:dyDescent="0.2">
      <c r="C5" s="25"/>
      <c r="D5" s="25"/>
      <c r="E5" s="25"/>
      <c r="F5" s="25"/>
      <c r="G5" s="25"/>
      <c r="H5" s="25"/>
      <c r="I5" s="25"/>
      <c r="J5" s="25"/>
      <c r="K5" s="25"/>
      <c r="L5" s="25"/>
      <c r="M5" s="25"/>
    </row>
    <row r="6" spans="3:13" ht="15.75" customHeight="1" x14ac:dyDescent="0.2">
      <c r="C6" s="25"/>
      <c r="D6" s="25"/>
      <c r="E6" s="25"/>
      <c r="F6" s="25"/>
      <c r="G6" s="25"/>
      <c r="H6" s="25"/>
      <c r="I6" s="25"/>
      <c r="J6" s="25"/>
      <c r="K6" s="25"/>
      <c r="L6" s="25"/>
      <c r="M6" s="25"/>
    </row>
    <row r="7" spans="3:13" ht="15.75" customHeight="1" x14ac:dyDescent="0.2">
      <c r="C7" s="25"/>
      <c r="D7" s="25"/>
      <c r="E7" s="25"/>
      <c r="F7" s="25"/>
      <c r="G7" s="25"/>
      <c r="H7" s="25"/>
      <c r="I7" s="25"/>
      <c r="J7" s="25"/>
      <c r="K7" s="25"/>
      <c r="L7" s="25"/>
      <c r="M7" s="25"/>
    </row>
    <row r="8" spans="3:13" ht="15.75" customHeight="1" x14ac:dyDescent="0.2">
      <c r="C8" s="25"/>
      <c r="D8" s="25"/>
      <c r="E8" s="25"/>
      <c r="F8" s="25"/>
      <c r="G8" s="25"/>
      <c r="H8" s="25"/>
      <c r="I8" s="25"/>
      <c r="J8" s="25"/>
      <c r="K8" s="25"/>
      <c r="L8" s="25"/>
      <c r="M8" s="25"/>
    </row>
    <row r="9" spans="3:13" ht="15.75" customHeight="1" x14ac:dyDescent="0.2">
      <c r="C9" s="25"/>
      <c r="D9" s="25"/>
      <c r="E9" s="25"/>
      <c r="F9" s="25"/>
      <c r="G9" s="25"/>
      <c r="H9" s="25"/>
      <c r="I9" s="25"/>
      <c r="J9" s="25"/>
      <c r="K9" s="25"/>
      <c r="L9" s="25"/>
      <c r="M9" s="25"/>
    </row>
    <row r="10" spans="3:13" ht="15.75" customHeight="1" x14ac:dyDescent="0.2">
      <c r="C10" s="25"/>
      <c r="D10" s="25"/>
      <c r="E10" s="25"/>
      <c r="F10" s="25"/>
      <c r="G10" s="25"/>
      <c r="H10" s="25"/>
      <c r="I10" s="25"/>
      <c r="J10" s="25"/>
      <c r="K10" s="25"/>
      <c r="L10" s="25"/>
      <c r="M10" s="25"/>
    </row>
    <row r="11" spans="3:13" ht="15.75" customHeight="1" x14ac:dyDescent="0.2">
      <c r="C11" s="25"/>
      <c r="D11" s="25"/>
      <c r="E11" s="25"/>
      <c r="F11" s="25"/>
      <c r="G11" s="25"/>
      <c r="H11" s="25"/>
      <c r="I11" s="25"/>
      <c r="J11" s="25"/>
      <c r="K11" s="25"/>
      <c r="L11" s="25"/>
      <c r="M11" s="25"/>
    </row>
    <row r="12" spans="3:13" ht="15.75" customHeight="1" x14ac:dyDescent="0.2">
      <c r="C12" s="25"/>
      <c r="D12" s="25"/>
      <c r="E12" s="25"/>
      <c r="F12" s="25"/>
      <c r="G12" s="25"/>
      <c r="H12" s="25"/>
      <c r="I12" s="25"/>
      <c r="J12" s="25"/>
      <c r="K12" s="25"/>
      <c r="L12" s="25"/>
      <c r="M12" s="25"/>
    </row>
    <row r="13" spans="3:13" ht="15.75" customHeight="1" x14ac:dyDescent="0.2">
      <c r="C13" s="25"/>
      <c r="D13" s="25"/>
      <c r="E13" s="25"/>
      <c r="F13" s="25"/>
      <c r="G13" s="25"/>
      <c r="H13" s="25"/>
      <c r="I13" s="25"/>
      <c r="J13" s="25"/>
      <c r="K13" s="25"/>
      <c r="L13" s="25"/>
      <c r="M13" s="25"/>
    </row>
    <row r="14" spans="3:13" ht="15.75" customHeight="1" x14ac:dyDescent="0.2">
      <c r="C14" s="25"/>
      <c r="D14" s="25"/>
      <c r="E14" s="25"/>
      <c r="F14" s="25"/>
      <c r="G14" s="25"/>
      <c r="H14" s="25"/>
      <c r="I14" s="25"/>
      <c r="J14" s="25"/>
      <c r="K14" s="25"/>
      <c r="L14" s="25"/>
      <c r="M14" s="25"/>
    </row>
    <row r="15" spans="3:13" ht="15.75" customHeight="1" x14ac:dyDescent="0.2">
      <c r="C15" s="25"/>
      <c r="D15" s="25"/>
      <c r="E15" s="25"/>
      <c r="F15" s="25"/>
      <c r="G15" s="25"/>
      <c r="H15" s="25"/>
      <c r="I15" s="25"/>
      <c r="J15" s="25"/>
      <c r="K15" s="25"/>
      <c r="L15" s="25"/>
      <c r="M15" s="25"/>
    </row>
    <row r="16" spans="3:13" ht="15.75" customHeight="1" x14ac:dyDescent="0.2">
      <c r="C16" s="25"/>
      <c r="D16" s="25"/>
      <c r="E16" s="25"/>
      <c r="F16" s="25"/>
      <c r="G16" s="25"/>
      <c r="H16" s="25"/>
      <c r="I16" s="25"/>
      <c r="J16" s="25"/>
      <c r="K16" s="25"/>
      <c r="L16" s="25"/>
      <c r="M16" s="25"/>
    </row>
    <row r="17" spans="3:13" ht="15.75" customHeight="1" x14ac:dyDescent="0.2">
      <c r="C17" s="25"/>
      <c r="D17" s="25"/>
      <c r="E17" s="25"/>
      <c r="F17" s="25"/>
      <c r="G17" s="25"/>
      <c r="H17" s="25"/>
      <c r="I17" s="25"/>
      <c r="J17" s="25"/>
      <c r="K17" s="25"/>
      <c r="L17" s="25"/>
      <c r="M17" s="25"/>
    </row>
    <row r="18" spans="3:13" ht="15.75" customHeight="1" x14ac:dyDescent="0.2">
      <c r="C18" s="25"/>
      <c r="D18" s="25"/>
      <c r="E18" s="25"/>
      <c r="F18" s="25"/>
      <c r="G18" s="25"/>
      <c r="H18" s="25"/>
      <c r="I18" s="25"/>
      <c r="J18" s="25"/>
      <c r="K18" s="25"/>
      <c r="L18" s="25"/>
      <c r="M18" s="25"/>
    </row>
    <row r="19" spans="3:13" ht="15.75" customHeight="1" x14ac:dyDescent="0.2">
      <c r="C19" s="25"/>
      <c r="D19" s="25"/>
      <c r="E19" s="25"/>
      <c r="F19" s="25"/>
      <c r="G19" s="25"/>
      <c r="H19" s="25"/>
      <c r="I19" s="25"/>
      <c r="J19" s="25"/>
      <c r="K19" s="25"/>
      <c r="L19" s="25"/>
      <c r="M19" s="25"/>
    </row>
    <row r="20" spans="3:13" ht="15.75" customHeight="1" x14ac:dyDescent="0.2">
      <c r="C20" s="25"/>
      <c r="D20" s="25"/>
      <c r="E20" s="25"/>
      <c r="F20" s="25"/>
      <c r="G20" s="25"/>
      <c r="H20" s="25"/>
      <c r="I20" s="25"/>
      <c r="J20" s="25"/>
      <c r="K20" s="25"/>
      <c r="L20" s="25"/>
      <c r="M20" s="25"/>
    </row>
    <row r="21" spans="3:13" ht="15.75" customHeight="1" x14ac:dyDescent="0.2">
      <c r="C21" s="25"/>
      <c r="D21" s="25"/>
      <c r="E21" s="25"/>
      <c r="F21" s="25"/>
      <c r="G21" s="25"/>
      <c r="H21" s="25"/>
      <c r="I21" s="25"/>
      <c r="J21" s="25"/>
      <c r="K21" s="25"/>
      <c r="L21" s="25"/>
      <c r="M21" s="25"/>
    </row>
    <row r="22" spans="3:13" ht="15.75" customHeight="1" x14ac:dyDescent="0.2">
      <c r="C22" s="25"/>
      <c r="D22" s="25"/>
      <c r="E22" s="25"/>
      <c r="F22" s="25"/>
      <c r="G22" s="25"/>
      <c r="H22" s="25"/>
      <c r="I22" s="25"/>
      <c r="J22" s="25"/>
      <c r="K22" s="25"/>
      <c r="L22" s="25"/>
      <c r="M22" s="25"/>
    </row>
    <row r="23" spans="3:13" ht="15.75" customHeight="1" x14ac:dyDescent="0.2">
      <c r="C23" s="25"/>
      <c r="D23" s="25"/>
      <c r="E23" s="25"/>
      <c r="F23" s="25"/>
      <c r="G23" s="25"/>
      <c r="H23" s="25"/>
      <c r="I23" s="25"/>
      <c r="J23" s="25"/>
      <c r="K23" s="25"/>
      <c r="L23" s="25"/>
      <c r="M23" s="25"/>
    </row>
    <row r="24" spans="3:13" ht="15.75" customHeight="1" x14ac:dyDescent="0.2">
      <c r="C24" s="25"/>
      <c r="D24" s="25"/>
      <c r="E24" s="25"/>
      <c r="F24" s="25"/>
      <c r="G24" s="25"/>
      <c r="H24" s="25"/>
      <c r="I24" s="25"/>
      <c r="J24" s="25"/>
      <c r="K24" s="25"/>
      <c r="L24" s="25"/>
      <c r="M24" s="25"/>
    </row>
    <row r="25" spans="3:13" ht="15.75" customHeight="1" x14ac:dyDescent="0.2">
      <c r="C25" s="25"/>
      <c r="D25" s="25"/>
      <c r="E25" s="25"/>
      <c r="F25" s="25"/>
      <c r="G25" s="25"/>
      <c r="H25" s="25"/>
      <c r="I25" s="25"/>
      <c r="J25" s="25"/>
      <c r="K25" s="25"/>
      <c r="L25" s="25"/>
      <c r="M25" s="25"/>
    </row>
    <row r="26" spans="3:13" ht="15.75" customHeight="1" x14ac:dyDescent="0.2">
      <c r="C26" s="25"/>
      <c r="D26" s="25"/>
      <c r="E26" s="25"/>
      <c r="F26" s="25"/>
      <c r="G26" s="25"/>
      <c r="H26" s="25"/>
      <c r="I26" s="25"/>
      <c r="J26" s="25"/>
      <c r="K26" s="25"/>
      <c r="L26" s="25"/>
      <c r="M26" s="25"/>
    </row>
    <row r="27" spans="3:13" ht="15.75" customHeight="1" x14ac:dyDescent="0.2">
      <c r="C27" s="25"/>
      <c r="D27" s="25"/>
      <c r="E27" s="25"/>
      <c r="F27" s="25"/>
      <c r="G27" s="25"/>
      <c r="H27" s="25"/>
      <c r="I27" s="25"/>
      <c r="J27" s="25"/>
      <c r="K27" s="25"/>
      <c r="L27" s="25"/>
      <c r="M27" s="25"/>
    </row>
    <row r="28" spans="3:13" ht="15.75" customHeight="1" x14ac:dyDescent="0.2">
      <c r="C28" s="25"/>
      <c r="D28" s="25"/>
      <c r="E28" s="25"/>
      <c r="F28" s="25"/>
      <c r="G28" s="25"/>
      <c r="H28" s="25"/>
      <c r="I28" s="25"/>
      <c r="J28" s="25"/>
      <c r="K28" s="25"/>
      <c r="L28" s="25"/>
      <c r="M28" s="25"/>
    </row>
    <row r="29" spans="3:13" ht="15.75" customHeight="1" x14ac:dyDescent="0.2">
      <c r="C29" s="25"/>
      <c r="D29" s="25"/>
      <c r="E29" s="25"/>
      <c r="F29" s="25"/>
      <c r="G29" s="25"/>
      <c r="H29" s="25"/>
      <c r="I29" s="25"/>
      <c r="J29" s="25"/>
      <c r="K29" s="25"/>
      <c r="L29" s="25"/>
      <c r="M29" s="25"/>
    </row>
    <row r="30" spans="3:13" ht="15.75" customHeight="1" x14ac:dyDescent="0.2">
      <c r="C30" s="25"/>
      <c r="D30" s="25"/>
      <c r="E30" s="25"/>
      <c r="F30" s="25"/>
      <c r="G30" s="25"/>
      <c r="H30" s="25"/>
      <c r="I30" s="25"/>
      <c r="J30" s="25"/>
      <c r="K30" s="25"/>
      <c r="L30" s="25"/>
      <c r="M30" s="25"/>
    </row>
    <row r="31" spans="3:13" ht="15.75" customHeight="1" x14ac:dyDescent="0.2">
      <c r="C31" s="25"/>
      <c r="D31" s="25"/>
      <c r="E31" s="25"/>
      <c r="F31" s="25"/>
      <c r="G31" s="25"/>
      <c r="H31" s="25"/>
      <c r="I31" s="25"/>
      <c r="J31" s="25"/>
      <c r="K31" s="25"/>
      <c r="L31" s="25"/>
      <c r="M31" s="25"/>
    </row>
    <row r="32" spans="3:13" ht="15.75" customHeight="1" x14ac:dyDescent="0.2">
      <c r="C32" s="25"/>
      <c r="D32" s="25"/>
      <c r="E32" s="25"/>
      <c r="F32" s="25"/>
      <c r="G32" s="25"/>
      <c r="H32" s="25"/>
      <c r="I32" s="25"/>
      <c r="J32" s="25"/>
      <c r="K32" s="25"/>
      <c r="L32" s="25"/>
      <c r="M32" s="25"/>
    </row>
    <row r="33" spans="3:13" ht="15.75" customHeight="1" x14ac:dyDescent="0.2">
      <c r="C33" s="25"/>
      <c r="D33" s="25"/>
      <c r="E33" s="25"/>
      <c r="F33" s="25"/>
      <c r="G33" s="25"/>
      <c r="H33" s="25"/>
      <c r="I33" s="25"/>
      <c r="J33" s="25"/>
      <c r="K33" s="25"/>
      <c r="L33" s="25"/>
      <c r="M33" s="25"/>
    </row>
    <row r="34" spans="3:13" ht="15.75" customHeight="1" x14ac:dyDescent="0.2">
      <c r="C34" s="25"/>
      <c r="D34" s="25"/>
      <c r="E34" s="25"/>
      <c r="F34" s="25"/>
      <c r="G34" s="25"/>
      <c r="H34" s="25"/>
      <c r="I34" s="25"/>
      <c r="J34" s="25"/>
      <c r="K34" s="25"/>
      <c r="L34" s="25"/>
      <c r="M34" s="25"/>
    </row>
    <row r="35" spans="3:13" ht="15.75" customHeight="1" x14ac:dyDescent="0.2">
      <c r="C35" s="25"/>
      <c r="D35" s="25"/>
      <c r="E35" s="25"/>
      <c r="F35" s="25"/>
      <c r="G35" s="25"/>
      <c r="H35" s="25"/>
      <c r="I35" s="25"/>
      <c r="J35" s="25"/>
      <c r="K35" s="25"/>
      <c r="L35" s="25"/>
      <c r="M35" s="25"/>
    </row>
    <row r="36" spans="3:13" ht="15.75" customHeight="1" x14ac:dyDescent="0.2">
      <c r="C36" s="25"/>
      <c r="D36" s="25"/>
      <c r="E36" s="25"/>
      <c r="F36" s="25"/>
      <c r="G36" s="25"/>
      <c r="H36" s="25"/>
      <c r="I36" s="25"/>
      <c r="J36" s="25"/>
      <c r="K36" s="25"/>
      <c r="L36" s="25"/>
      <c r="M36" s="25"/>
    </row>
    <row r="37" spans="3:13" ht="15.75" customHeight="1" x14ac:dyDescent="0.2">
      <c r="C37" s="25"/>
      <c r="D37" s="25"/>
      <c r="E37" s="25"/>
      <c r="F37" s="25"/>
      <c r="G37" s="25"/>
      <c r="H37" s="25"/>
      <c r="I37" s="25"/>
      <c r="J37" s="25"/>
      <c r="K37" s="25"/>
      <c r="L37" s="25"/>
      <c r="M37" s="25"/>
    </row>
    <row r="38" spans="3:13" ht="15.75" customHeight="1" x14ac:dyDescent="0.2">
      <c r="C38" s="25"/>
      <c r="D38" s="25"/>
      <c r="E38" s="25"/>
      <c r="F38" s="25"/>
      <c r="G38" s="25"/>
      <c r="H38" s="25"/>
      <c r="I38" s="25"/>
      <c r="J38" s="25"/>
      <c r="K38" s="25"/>
      <c r="L38" s="25"/>
      <c r="M38" s="25"/>
    </row>
  </sheetData>
  <sheetProtection selectLockedCells="1" selectUnlockedCells="1"/>
  <mergeCells count="2">
    <mergeCell ref="L1:M1"/>
    <mergeCell ref="J1:K1"/>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M13"/>
  <sheetViews>
    <sheetView showGridLines="0" zoomScale="90" zoomScaleNormal="90" workbookViewId="0"/>
  </sheetViews>
  <sheetFormatPr baseColWidth="10" defaultColWidth="10.83203125" defaultRowHeight="16" x14ac:dyDescent="0.2"/>
  <cols>
    <col min="1" max="3" width="1.83203125" style="4" customWidth="1"/>
    <col min="4" max="6" width="1.83203125" style="5" customWidth="1"/>
    <col min="7" max="8" width="10.83203125" style="5"/>
    <col min="9" max="9" width="14.5" style="1" customWidth="1"/>
    <col min="10" max="10" width="8.6640625" style="1" customWidth="1"/>
    <col min="11" max="11" width="2.6640625" style="1" customWidth="1"/>
    <col min="12" max="16384" width="10.83203125" style="1"/>
  </cols>
  <sheetData>
    <row r="1" spans="1:13" ht="72" customHeight="1" x14ac:dyDescent="0.2">
      <c r="I1" s="15"/>
      <c r="J1" s="115" t="s">
        <v>134</v>
      </c>
      <c r="K1" s="116"/>
      <c r="L1" s="114"/>
      <c r="M1" s="114"/>
    </row>
    <row r="2" spans="1:13" ht="40" customHeight="1" x14ac:dyDescent="0.2">
      <c r="B2" s="54"/>
      <c r="C2" s="54"/>
      <c r="D2" s="54"/>
      <c r="E2" s="54"/>
      <c r="F2" s="54"/>
      <c r="G2" s="54"/>
      <c r="H2" s="54"/>
      <c r="I2" s="54"/>
      <c r="J2" s="54"/>
      <c r="K2" s="54"/>
      <c r="L2" s="54"/>
      <c r="M2" s="54"/>
    </row>
    <row r="3" spans="1:13" ht="20" customHeight="1" x14ac:dyDescent="0.2">
      <c r="B3" s="54"/>
      <c r="C3" s="54"/>
      <c r="D3" s="54"/>
      <c r="E3" s="54"/>
      <c r="F3" s="54"/>
      <c r="G3" s="54"/>
      <c r="H3" s="54"/>
      <c r="I3" s="54"/>
      <c r="J3" s="54"/>
      <c r="K3" s="54"/>
      <c r="L3" s="54"/>
      <c r="M3" s="54"/>
    </row>
    <row r="4" spans="1:13" ht="20" customHeight="1" x14ac:dyDescent="0.2">
      <c r="A4" s="6" t="s">
        <v>2</v>
      </c>
      <c r="B4" s="117" t="s">
        <v>470</v>
      </c>
      <c r="C4" s="117"/>
      <c r="D4" s="117"/>
      <c r="E4" s="117"/>
      <c r="F4" s="117"/>
      <c r="G4" s="117"/>
      <c r="H4" s="117"/>
      <c r="I4" s="117"/>
      <c r="J4" s="117"/>
      <c r="K4" s="54"/>
      <c r="L4" s="54"/>
      <c r="M4" s="54"/>
    </row>
    <row r="5" spans="1:13" ht="20" customHeight="1" x14ac:dyDescent="0.2">
      <c r="A5" s="6" t="s">
        <v>2</v>
      </c>
      <c r="B5" s="117" t="s">
        <v>1</v>
      </c>
      <c r="C5" s="117"/>
      <c r="D5" s="117"/>
      <c r="E5" s="117"/>
      <c r="F5" s="117"/>
      <c r="G5" s="117"/>
      <c r="H5" s="117"/>
      <c r="I5" s="117"/>
      <c r="J5" s="117"/>
    </row>
    <row r="6" spans="1:13" s="7" customFormat="1" ht="20" customHeight="1" x14ac:dyDescent="0.2">
      <c r="A6" s="6" t="s">
        <v>2</v>
      </c>
      <c r="B6" s="117" t="s">
        <v>363</v>
      </c>
      <c r="C6" s="117"/>
      <c r="D6" s="117"/>
      <c r="E6" s="117"/>
      <c r="F6" s="117"/>
      <c r="G6" s="117"/>
      <c r="H6" s="117"/>
      <c r="I6" s="117"/>
      <c r="J6" s="117"/>
    </row>
    <row r="7" spans="1:13" s="7" customFormat="1" ht="20" customHeight="1" x14ac:dyDescent="0.2">
      <c r="A7" s="6" t="s">
        <v>2</v>
      </c>
      <c r="B7" s="117" t="s">
        <v>90</v>
      </c>
      <c r="C7" s="117"/>
      <c r="D7" s="117"/>
      <c r="E7" s="117"/>
      <c r="F7" s="117"/>
      <c r="G7" s="117"/>
      <c r="H7" s="117"/>
      <c r="I7" s="117"/>
      <c r="J7" s="117"/>
    </row>
    <row r="8" spans="1:13" s="7" customFormat="1" ht="20" customHeight="1" x14ac:dyDescent="0.2">
      <c r="A8" s="6" t="s">
        <v>2</v>
      </c>
      <c r="B8" s="117" t="s">
        <v>418</v>
      </c>
      <c r="C8" s="117"/>
      <c r="D8" s="117"/>
      <c r="E8" s="117"/>
      <c r="F8" s="117"/>
      <c r="G8" s="117"/>
      <c r="H8" s="117"/>
      <c r="I8" s="117"/>
      <c r="J8" s="117"/>
    </row>
    <row r="9" spans="1:13" s="7" customFormat="1" ht="20" customHeight="1" x14ac:dyDescent="0.2">
      <c r="A9" s="6"/>
      <c r="B9" s="6"/>
      <c r="C9" s="6" t="s">
        <v>2</v>
      </c>
      <c r="D9" s="118" t="s">
        <v>4</v>
      </c>
      <c r="E9" s="118"/>
      <c r="F9" s="118"/>
      <c r="G9" s="118"/>
      <c r="H9" s="118"/>
    </row>
    <row r="10" spans="1:13" s="7" customFormat="1" ht="20" customHeight="1" x14ac:dyDescent="0.2">
      <c r="A10" s="6"/>
      <c r="B10" s="6"/>
      <c r="C10" s="6"/>
      <c r="D10" s="9" t="s">
        <v>2</v>
      </c>
      <c r="E10" s="117" t="s">
        <v>4</v>
      </c>
      <c r="F10" s="117"/>
      <c r="G10" s="117"/>
      <c r="H10" s="117"/>
    </row>
    <row r="11" spans="1:13" s="7" customFormat="1" ht="20" customHeight="1" x14ac:dyDescent="0.2">
      <c r="A11" s="6"/>
      <c r="B11" s="6"/>
      <c r="C11" s="6"/>
      <c r="D11" s="9" t="s">
        <v>2</v>
      </c>
      <c r="E11" s="117" t="s">
        <v>5</v>
      </c>
      <c r="F11" s="117"/>
      <c r="G11" s="117"/>
      <c r="H11" s="117"/>
    </row>
    <row r="12" spans="1:13" s="7" customFormat="1" ht="20" customHeight="1" x14ac:dyDescent="0.2">
      <c r="A12" s="6"/>
      <c r="B12" s="6"/>
      <c r="C12" s="6"/>
      <c r="D12" s="9" t="s">
        <v>2</v>
      </c>
      <c r="E12" s="117" t="s">
        <v>6</v>
      </c>
      <c r="F12" s="117"/>
      <c r="G12" s="117"/>
      <c r="H12" s="117"/>
    </row>
    <row r="13" spans="1:13" ht="24" x14ac:dyDescent="0.2">
      <c r="J13" s="25"/>
      <c r="K13" s="25"/>
      <c r="L13" s="25"/>
      <c r="M13" s="25"/>
    </row>
  </sheetData>
  <mergeCells count="11">
    <mergeCell ref="L1:M1"/>
    <mergeCell ref="E12:H12"/>
    <mergeCell ref="D9:H9"/>
    <mergeCell ref="E10:H10"/>
    <mergeCell ref="E11:H11"/>
    <mergeCell ref="B5:J5"/>
    <mergeCell ref="B6:J6"/>
    <mergeCell ref="B7:J7"/>
    <mergeCell ref="B8:J8"/>
    <mergeCell ref="J1:K1"/>
    <mergeCell ref="B4:J4"/>
  </mergeCells>
  <hyperlinks>
    <hyperlink ref="B6:H6" location="'Distribución de Compensación'!A1" display="DISTRIBUCIÓN DE COMPENSACIÓN" xr:uid="{00000000-0004-0000-0200-000000000000}"/>
    <hyperlink ref="B7:H7" location="'Market Analyzer'!A1" display="MARKET ANALYZER" xr:uid="{00000000-0004-0000-0200-000001000000}"/>
    <hyperlink ref="E10:H10" location="'Acerca de AC Consulting '!A1" display="ACERCA DE AC CONSULTING" xr:uid="{00000000-0004-0000-0200-000004000000}"/>
    <hyperlink ref="E11:H11" location="'Portafolio de Productos'!A1" display="PORTAFOLIO DE PRODUCTOS" xr:uid="{00000000-0004-0000-0200-000005000000}"/>
    <hyperlink ref="E12:H12" location="Contacto!A1" display="CONTACTO" xr:uid="{00000000-0004-0000-0200-000007000000}"/>
    <hyperlink ref="B6:J6" location="'Distribución de Compensación'!A1" display="DISTRIBUCIÓN DE COMPENSACIÓN" xr:uid="{5AE1570A-E8F1-5D49-9268-9920C4EAD2A5}"/>
    <hyperlink ref="B7:J7" location="'Market Analyzer'!A1" display="MARKET ANALYZER" xr:uid="{006AA325-AAF2-BA41-B017-209D4AB29BB6}"/>
    <hyperlink ref="B8:J8" location="'Explicación TCR'!A1" display="EXPLICACIÓN TCR" xr:uid="{F5808B29-BAA8-9345-94DE-89D53A645CCC}"/>
    <hyperlink ref="B4:H4" location="'Distribución de Compensación'!A1" display="DISTRIBUCIÓN DE COMPENSACIÓN" xr:uid="{35ED30D0-28B7-0D4B-A709-1F2F7FC80BF7}"/>
    <hyperlink ref="B4:J4" location="Metodologia!A1" display="METODOLOGÍA" xr:uid="{A7DDA5BA-9982-9648-981D-D692B4C78053}"/>
    <hyperlink ref="B5:J5" location="'Empresas Participantes'!A1" display="EMPRESAS PARTICIPANTES" xr:uid="{BEDA1066-9B8A-D244-8169-E11636A4B25F}"/>
  </hyperlinks>
  <printOptions horizontalCentered="1" verticalCentered="1"/>
  <pageMargins left="0.7" right="0.7" top="0" bottom="0" header="0" footer="0.3"/>
  <pageSetup paperSize="9" orientation="landscape"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59DC-4426-E243-A522-8B00E2C57971}">
  <dimension ref="A1:Q42"/>
  <sheetViews>
    <sheetView showGridLines="0" zoomScale="90" zoomScaleNormal="90" workbookViewId="0"/>
  </sheetViews>
  <sheetFormatPr baseColWidth="10" defaultColWidth="10.83203125" defaultRowHeight="14" x14ac:dyDescent="0.2"/>
  <cols>
    <col min="1" max="1" width="1.83203125" style="98" customWidth="1"/>
    <col min="2" max="2" width="1.83203125" style="99" customWidth="1"/>
    <col min="3" max="3" width="27.83203125" style="99" customWidth="1"/>
    <col min="4" max="4" width="11" style="100" customWidth="1"/>
    <col min="5" max="5" width="10.83203125" style="99"/>
    <col min="6" max="6" width="8.6640625" style="99" customWidth="1"/>
    <col min="7" max="7" width="2.6640625" style="99" customWidth="1"/>
    <col min="8" max="8" width="10.83203125" style="99" customWidth="1"/>
    <col min="9" max="9" width="12.6640625" style="99" customWidth="1"/>
    <col min="10" max="14" width="10.83203125" style="99"/>
    <col min="15" max="16384" width="10.83203125" style="103"/>
  </cols>
  <sheetData>
    <row r="1" spans="1:17" ht="80" customHeight="1" x14ac:dyDescent="0.2">
      <c r="F1" s="115" t="s">
        <v>134</v>
      </c>
      <c r="G1" s="116"/>
      <c r="H1" s="114"/>
      <c r="I1" s="114"/>
      <c r="J1" s="102"/>
    </row>
    <row r="2" spans="1:17" ht="40" customHeight="1" x14ac:dyDescent="0.2"/>
    <row r="3" spans="1:17" ht="20" customHeight="1" x14ac:dyDescent="0.2">
      <c r="A3" s="101"/>
      <c r="B3" s="101"/>
      <c r="C3" s="101"/>
      <c r="D3" s="101"/>
      <c r="E3" s="101"/>
      <c r="F3" s="101"/>
      <c r="G3" s="101"/>
      <c r="H3" s="101"/>
      <c r="I3" s="101"/>
      <c r="J3" s="104"/>
      <c r="K3" s="104"/>
      <c r="L3" s="104"/>
      <c r="M3" s="104"/>
    </row>
    <row r="4" spans="1:17" s="101" customFormat="1" ht="58" customHeight="1" x14ac:dyDescent="0.2">
      <c r="A4" s="105" t="s">
        <v>2</v>
      </c>
      <c r="B4" s="122" t="s">
        <v>451</v>
      </c>
      <c r="C4" s="122"/>
      <c r="D4" s="122"/>
      <c r="E4" s="122"/>
      <c r="F4" s="122"/>
      <c r="G4" s="122"/>
      <c r="H4" s="122"/>
      <c r="I4" s="122"/>
      <c r="J4" s="106"/>
      <c r="K4" s="106"/>
      <c r="L4" s="106"/>
      <c r="M4" s="106"/>
      <c r="N4" s="106"/>
    </row>
    <row r="5" spans="1:17" s="101" customFormat="1" ht="25.5" customHeight="1" x14ac:dyDescent="0.2">
      <c r="A5" s="105"/>
      <c r="B5" s="122"/>
      <c r="C5" s="122"/>
      <c r="D5" s="122"/>
      <c r="E5" s="122"/>
      <c r="F5" s="122"/>
      <c r="G5" s="122"/>
      <c r="H5" s="122"/>
      <c r="I5" s="122"/>
      <c r="J5" s="106"/>
      <c r="K5" s="106"/>
      <c r="L5" s="106"/>
      <c r="M5" s="106"/>
      <c r="N5" s="106"/>
    </row>
    <row r="6" spans="1:17" x14ac:dyDescent="0.2">
      <c r="B6" s="120" t="s">
        <v>452</v>
      </c>
      <c r="C6" s="120"/>
      <c r="D6" s="120"/>
      <c r="E6" s="120"/>
      <c r="F6" s="120"/>
      <c r="G6" s="120"/>
      <c r="H6" s="120"/>
      <c r="I6" s="106"/>
      <c r="J6" s="108"/>
      <c r="K6" s="108"/>
      <c r="L6" s="108"/>
      <c r="M6" s="108"/>
      <c r="N6" s="108"/>
    </row>
    <row r="7" spans="1:17" x14ac:dyDescent="0.2">
      <c r="A7" s="98" t="s">
        <v>2</v>
      </c>
      <c r="B7" s="119" t="s">
        <v>453</v>
      </c>
      <c r="C7" s="119"/>
      <c r="D7" s="119"/>
      <c r="E7" s="119"/>
      <c r="F7" s="119"/>
      <c r="G7" s="119"/>
      <c r="H7" s="119"/>
      <c r="I7" s="119"/>
      <c r="J7" s="119"/>
      <c r="K7" s="119"/>
      <c r="L7" s="119"/>
      <c r="M7" s="119"/>
      <c r="N7" s="119"/>
      <c r="O7" s="119"/>
      <c r="P7" s="119"/>
      <c r="Q7" s="119"/>
    </row>
    <row r="8" spans="1:17" ht="90" customHeight="1" x14ac:dyDescent="0.2">
      <c r="B8" s="110" t="s">
        <v>2</v>
      </c>
      <c r="C8" s="121" t="s">
        <v>454</v>
      </c>
      <c r="D8" s="121"/>
      <c r="E8" s="121"/>
      <c r="F8" s="121"/>
      <c r="G8" s="121"/>
      <c r="H8" s="121"/>
      <c r="I8" s="121"/>
      <c r="J8" s="108"/>
      <c r="K8" s="108"/>
      <c r="L8" s="108"/>
      <c r="M8" s="108"/>
      <c r="N8" s="108"/>
    </row>
    <row r="9" spans="1:17" ht="98" customHeight="1" x14ac:dyDescent="0.2">
      <c r="B9" s="110" t="s">
        <v>2</v>
      </c>
      <c r="C9" s="121" t="s">
        <v>455</v>
      </c>
      <c r="D9" s="121"/>
      <c r="E9" s="121"/>
      <c r="F9" s="121"/>
      <c r="G9" s="121"/>
      <c r="H9" s="121"/>
      <c r="I9" s="121"/>
      <c r="J9" s="108"/>
      <c r="K9" s="108"/>
      <c r="L9" s="108"/>
      <c r="M9" s="108"/>
      <c r="N9" s="108"/>
    </row>
    <row r="10" spans="1:17" ht="90" customHeight="1" x14ac:dyDescent="0.2">
      <c r="B10" s="110" t="s">
        <v>2</v>
      </c>
      <c r="C10" s="121" t="s">
        <v>456</v>
      </c>
      <c r="D10" s="121"/>
      <c r="E10" s="121"/>
      <c r="F10" s="121"/>
      <c r="G10" s="121"/>
      <c r="H10" s="121"/>
      <c r="I10" s="121"/>
      <c r="J10" s="108"/>
      <c r="K10" s="108"/>
      <c r="L10" s="108"/>
      <c r="M10" s="108"/>
      <c r="N10" s="108"/>
    </row>
    <row r="11" spans="1:17" ht="90" customHeight="1" x14ac:dyDescent="0.2">
      <c r="B11" s="110" t="s">
        <v>2</v>
      </c>
      <c r="C11" s="121" t="s">
        <v>457</v>
      </c>
      <c r="D11" s="121"/>
      <c r="E11" s="121"/>
      <c r="F11" s="121"/>
      <c r="G11" s="121"/>
      <c r="H11" s="121"/>
      <c r="I11" s="121"/>
      <c r="J11" s="108"/>
      <c r="K11" s="108"/>
      <c r="L11" s="108"/>
      <c r="M11" s="108"/>
      <c r="N11" s="108"/>
    </row>
    <row r="12" spans="1:17" x14ac:dyDescent="0.2">
      <c r="B12" s="107"/>
      <c r="C12" s="107"/>
      <c r="D12" s="107"/>
      <c r="E12" s="107"/>
      <c r="F12" s="107"/>
      <c r="G12" s="107"/>
      <c r="H12" s="107"/>
      <c r="I12" s="106"/>
      <c r="J12" s="108"/>
      <c r="K12" s="108"/>
      <c r="L12" s="108"/>
      <c r="M12" s="108"/>
      <c r="N12" s="108"/>
    </row>
    <row r="13" spans="1:17" x14ac:dyDescent="0.2">
      <c r="A13" s="98" t="s">
        <v>2</v>
      </c>
      <c r="B13" s="119" t="s">
        <v>458</v>
      </c>
      <c r="C13" s="119"/>
      <c r="D13" s="119"/>
      <c r="E13" s="119"/>
      <c r="F13" s="119"/>
      <c r="G13" s="119"/>
      <c r="H13" s="119"/>
      <c r="I13" s="119"/>
      <c r="J13" s="119"/>
      <c r="K13" s="119"/>
      <c r="L13" s="119"/>
      <c r="M13" s="119"/>
      <c r="N13" s="119"/>
      <c r="O13" s="119"/>
      <c r="P13" s="119"/>
      <c r="Q13" s="119"/>
    </row>
    <row r="14" spans="1:17" s="112" customFormat="1" ht="51" customHeight="1" x14ac:dyDescent="0.2">
      <c r="A14" s="111"/>
      <c r="B14" s="109" t="s">
        <v>2</v>
      </c>
      <c r="C14" s="119" t="s">
        <v>459</v>
      </c>
      <c r="D14" s="119"/>
      <c r="E14" s="119"/>
      <c r="F14" s="119"/>
      <c r="G14" s="119"/>
      <c r="H14" s="119"/>
      <c r="I14" s="119"/>
      <c r="J14" s="108"/>
      <c r="K14" s="108"/>
      <c r="L14" s="108"/>
      <c r="M14" s="108"/>
      <c r="N14" s="108"/>
      <c r="O14" s="108"/>
      <c r="P14" s="108"/>
      <c r="Q14" s="108"/>
    </row>
    <row r="15" spans="1:17" s="112" customFormat="1" ht="51" customHeight="1" x14ac:dyDescent="0.2">
      <c r="A15" s="111"/>
      <c r="B15" s="109" t="s">
        <v>2</v>
      </c>
      <c r="C15" s="119" t="s">
        <v>460</v>
      </c>
      <c r="D15" s="119"/>
      <c r="E15" s="119"/>
      <c r="F15" s="119"/>
      <c r="G15" s="119"/>
      <c r="H15" s="119"/>
      <c r="I15" s="119"/>
      <c r="J15" s="108"/>
      <c r="K15" s="108"/>
      <c r="L15" s="108"/>
      <c r="M15" s="108"/>
      <c r="N15" s="108"/>
      <c r="O15" s="108"/>
      <c r="P15" s="108"/>
      <c r="Q15" s="108"/>
    </row>
    <row r="16" spans="1:17" s="112" customFormat="1" ht="38" customHeight="1" x14ac:dyDescent="0.2">
      <c r="A16" s="111"/>
      <c r="B16" s="109" t="s">
        <v>2</v>
      </c>
      <c r="C16" s="119" t="s">
        <v>461</v>
      </c>
      <c r="D16" s="119"/>
      <c r="E16" s="119"/>
      <c r="F16" s="119"/>
      <c r="G16" s="119"/>
      <c r="H16" s="119"/>
      <c r="I16" s="119"/>
      <c r="J16" s="108"/>
      <c r="K16" s="108"/>
      <c r="L16" s="108"/>
      <c r="M16" s="108"/>
      <c r="N16" s="108"/>
      <c r="O16" s="108"/>
      <c r="P16" s="108"/>
      <c r="Q16" s="108"/>
    </row>
    <row r="17" spans="1:17" s="112" customFormat="1" ht="51" customHeight="1" x14ac:dyDescent="0.2">
      <c r="A17" s="111"/>
      <c r="B17" s="109" t="s">
        <v>2</v>
      </c>
      <c r="C17" s="119" t="s">
        <v>462</v>
      </c>
      <c r="D17" s="119"/>
      <c r="E17" s="119"/>
      <c r="F17" s="119"/>
      <c r="G17" s="119"/>
      <c r="H17" s="119"/>
      <c r="I17" s="119"/>
      <c r="J17" s="108"/>
      <c r="K17" s="108"/>
      <c r="L17" s="108"/>
      <c r="M17" s="108"/>
      <c r="N17" s="108"/>
      <c r="O17" s="108"/>
      <c r="P17" s="108"/>
      <c r="Q17" s="108"/>
    </row>
    <row r="18" spans="1:17" s="112" customFormat="1" ht="51" customHeight="1" x14ac:dyDescent="0.2">
      <c r="A18" s="111"/>
      <c r="B18" s="109" t="s">
        <v>2</v>
      </c>
      <c r="C18" s="119" t="s">
        <v>463</v>
      </c>
      <c r="D18" s="119"/>
      <c r="E18" s="119"/>
      <c r="F18" s="119"/>
      <c r="G18" s="119"/>
      <c r="H18" s="119"/>
      <c r="I18" s="119"/>
      <c r="J18" s="108"/>
      <c r="K18" s="108"/>
      <c r="L18" s="108"/>
      <c r="M18" s="108"/>
      <c r="N18" s="108"/>
      <c r="O18" s="108"/>
      <c r="P18" s="108"/>
      <c r="Q18" s="108"/>
    </row>
    <row r="19" spans="1:17" x14ac:dyDescent="0.2">
      <c r="A19" s="98" t="s">
        <v>2</v>
      </c>
      <c r="B19" s="119" t="s">
        <v>464</v>
      </c>
      <c r="C19" s="119"/>
      <c r="D19" s="119"/>
      <c r="E19" s="119"/>
      <c r="F19" s="119"/>
      <c r="G19" s="119"/>
      <c r="H19" s="119"/>
      <c r="I19" s="119"/>
      <c r="J19" s="119"/>
      <c r="K19" s="119"/>
      <c r="L19" s="119"/>
      <c r="M19" s="119"/>
      <c r="N19" s="119"/>
      <c r="O19" s="119"/>
      <c r="P19" s="119"/>
      <c r="Q19" s="119"/>
    </row>
    <row r="20" spans="1:17" ht="20" customHeight="1" x14ac:dyDescent="0.2">
      <c r="B20" s="109" t="s">
        <v>2</v>
      </c>
      <c r="C20" s="119" t="s">
        <v>465</v>
      </c>
      <c r="D20" s="119"/>
      <c r="E20" s="119"/>
      <c r="F20" s="119"/>
      <c r="G20" s="119"/>
      <c r="H20" s="119"/>
      <c r="I20" s="119"/>
      <c r="J20" s="119"/>
      <c r="K20" s="119"/>
      <c r="L20" s="119"/>
      <c r="M20" s="119"/>
      <c r="N20" s="119"/>
      <c r="O20" s="119"/>
      <c r="P20" s="119"/>
      <c r="Q20" s="119"/>
    </row>
    <row r="21" spans="1:17" ht="20" customHeight="1" x14ac:dyDescent="0.2">
      <c r="B21" s="109" t="s">
        <v>2</v>
      </c>
      <c r="C21" s="119" t="s">
        <v>466</v>
      </c>
      <c r="D21" s="119"/>
      <c r="E21" s="119"/>
      <c r="F21" s="119"/>
      <c r="G21" s="119"/>
      <c r="H21" s="119"/>
      <c r="I21" s="119"/>
      <c r="J21" s="119"/>
      <c r="K21" s="119"/>
      <c r="L21" s="119"/>
      <c r="M21" s="119"/>
      <c r="N21" s="119"/>
      <c r="O21" s="119"/>
      <c r="P21" s="119"/>
      <c r="Q21" s="119"/>
    </row>
    <row r="22" spans="1:17" ht="20" customHeight="1" x14ac:dyDescent="0.2">
      <c r="B22" s="109" t="s">
        <v>2</v>
      </c>
      <c r="C22" s="119" t="s">
        <v>467</v>
      </c>
      <c r="D22" s="119"/>
      <c r="E22" s="119"/>
      <c r="F22" s="119"/>
      <c r="G22" s="119"/>
      <c r="H22" s="119"/>
      <c r="I22" s="119"/>
      <c r="J22" s="119"/>
      <c r="K22" s="119"/>
      <c r="L22" s="119"/>
      <c r="M22" s="119"/>
      <c r="N22" s="119"/>
      <c r="O22" s="119"/>
      <c r="P22" s="119"/>
      <c r="Q22" s="119"/>
    </row>
    <row r="23" spans="1:17" ht="20" customHeight="1" x14ac:dyDescent="0.2">
      <c r="B23" s="109" t="s">
        <v>2</v>
      </c>
      <c r="C23" s="119" t="s">
        <v>468</v>
      </c>
      <c r="D23" s="119"/>
      <c r="E23" s="119"/>
      <c r="F23" s="119"/>
      <c r="G23" s="119"/>
      <c r="H23" s="119"/>
      <c r="I23" s="119"/>
      <c r="J23" s="119"/>
      <c r="K23" s="119"/>
      <c r="L23" s="119"/>
      <c r="M23" s="119"/>
      <c r="N23" s="119"/>
      <c r="O23" s="119"/>
      <c r="P23" s="119"/>
      <c r="Q23" s="119"/>
    </row>
    <row r="24" spans="1:17" ht="20" customHeight="1" x14ac:dyDescent="0.2">
      <c r="B24" s="109" t="s">
        <v>2</v>
      </c>
      <c r="C24" s="119" t="s">
        <v>469</v>
      </c>
      <c r="D24" s="119"/>
      <c r="E24" s="119"/>
      <c r="F24" s="119"/>
      <c r="G24" s="119"/>
      <c r="H24" s="119"/>
      <c r="I24" s="119"/>
      <c r="J24" s="119"/>
      <c r="K24" s="119"/>
      <c r="L24" s="119"/>
      <c r="M24" s="119"/>
      <c r="N24" s="119"/>
      <c r="O24" s="119"/>
      <c r="P24" s="119"/>
      <c r="Q24" s="119"/>
    </row>
    <row r="25" spans="1:17" ht="33" customHeight="1" x14ac:dyDescent="0.2">
      <c r="B25" s="109"/>
      <c r="C25" s="109"/>
      <c r="D25" s="109"/>
      <c r="E25" s="109"/>
      <c r="F25" s="109"/>
      <c r="G25" s="111"/>
      <c r="H25" s="111"/>
      <c r="I25" s="111"/>
      <c r="J25" s="111"/>
      <c r="K25" s="103"/>
      <c r="L25" s="109"/>
      <c r="M25" s="109"/>
      <c r="N25" s="109"/>
    </row>
    <row r="26" spans="1:17" ht="33" customHeight="1" x14ac:dyDescent="0.2">
      <c r="B26" s="109"/>
      <c r="C26" s="109"/>
      <c r="D26" s="109"/>
      <c r="E26" s="109"/>
      <c r="F26" s="111"/>
      <c r="G26" s="111"/>
      <c r="H26" s="111"/>
      <c r="I26" s="111"/>
      <c r="J26" s="103"/>
      <c r="K26" s="109"/>
      <c r="L26" s="109"/>
      <c r="M26" s="109"/>
      <c r="N26" s="109"/>
    </row>
    <row r="27" spans="1:17" ht="33" customHeight="1" x14ac:dyDescent="0.2">
      <c r="B27" s="109"/>
      <c r="C27" s="109"/>
      <c r="D27" s="109"/>
      <c r="E27" s="109"/>
      <c r="F27" s="109"/>
      <c r="G27" s="109"/>
      <c r="H27" s="109"/>
      <c r="I27" s="109"/>
      <c r="J27" s="109"/>
      <c r="K27" s="109"/>
      <c r="L27" s="109"/>
      <c r="M27" s="109"/>
      <c r="N27" s="109"/>
    </row>
    <row r="28" spans="1:17" ht="33" customHeight="1" x14ac:dyDescent="0.2">
      <c r="B28" s="109"/>
      <c r="C28" s="109"/>
      <c r="D28" s="109"/>
      <c r="E28" s="109"/>
      <c r="F28" s="109"/>
      <c r="G28" s="109"/>
      <c r="H28" s="109"/>
      <c r="I28" s="109"/>
      <c r="J28" s="109"/>
      <c r="K28" s="109"/>
      <c r="L28" s="109"/>
      <c r="M28" s="109"/>
      <c r="N28" s="109"/>
    </row>
    <row r="29" spans="1:17" ht="33" customHeight="1" x14ac:dyDescent="0.2">
      <c r="B29" s="109"/>
      <c r="C29" s="109"/>
      <c r="D29" s="109"/>
      <c r="E29" s="109"/>
      <c r="F29" s="109"/>
      <c r="G29" s="109"/>
      <c r="H29" s="109"/>
      <c r="I29" s="109"/>
      <c r="J29" s="109"/>
      <c r="K29" s="109"/>
      <c r="L29" s="109"/>
      <c r="M29" s="109"/>
      <c r="N29" s="109"/>
    </row>
    <row r="30" spans="1:17" ht="33" customHeight="1" x14ac:dyDescent="0.2">
      <c r="B30" s="109"/>
      <c r="C30" s="109"/>
      <c r="D30" s="109"/>
      <c r="E30" s="109"/>
      <c r="F30" s="109"/>
      <c r="G30" s="109"/>
      <c r="H30" s="109"/>
      <c r="I30" s="109"/>
      <c r="J30" s="109"/>
      <c r="K30" s="109"/>
      <c r="L30" s="109"/>
      <c r="M30" s="109"/>
      <c r="N30" s="109"/>
    </row>
    <row r="31" spans="1:17" ht="18.75" customHeight="1" x14ac:dyDescent="0.2">
      <c r="B31" s="109"/>
      <c r="C31" s="109"/>
      <c r="D31" s="109"/>
      <c r="E31" s="109"/>
      <c r="F31" s="109"/>
      <c r="G31" s="109"/>
      <c r="H31" s="109"/>
      <c r="I31" s="109"/>
      <c r="J31" s="109"/>
      <c r="K31" s="109"/>
      <c r="L31" s="109"/>
      <c r="M31" s="109"/>
      <c r="N31" s="109"/>
    </row>
    <row r="32" spans="1:17" x14ac:dyDescent="0.2">
      <c r="A32" s="98" t="s">
        <v>2</v>
      </c>
      <c r="B32" s="109"/>
      <c r="C32" s="109"/>
      <c r="D32" s="109"/>
      <c r="E32" s="109"/>
      <c r="F32" s="109"/>
      <c r="G32" s="109"/>
      <c r="H32" s="109"/>
      <c r="I32" s="109"/>
      <c r="J32" s="109"/>
      <c r="K32" s="109"/>
      <c r="L32" s="109"/>
      <c r="M32" s="109"/>
      <c r="N32" s="109"/>
    </row>
    <row r="33" spans="1:14" x14ac:dyDescent="0.2">
      <c r="B33" s="109"/>
      <c r="C33" s="109"/>
      <c r="D33" s="109"/>
      <c r="E33" s="109"/>
      <c r="F33" s="109"/>
      <c r="G33" s="109"/>
      <c r="H33" s="109"/>
      <c r="I33" s="109"/>
      <c r="J33" s="109"/>
      <c r="K33" s="109"/>
      <c r="L33" s="109"/>
      <c r="M33" s="109"/>
      <c r="N33" s="109"/>
    </row>
    <row r="34" spans="1:14" x14ac:dyDescent="0.2">
      <c r="B34" s="109"/>
      <c r="C34" s="109"/>
      <c r="D34" s="109"/>
      <c r="E34" s="109"/>
      <c r="F34" s="109"/>
      <c r="G34" s="109"/>
      <c r="H34" s="109"/>
      <c r="I34" s="109"/>
      <c r="J34" s="109"/>
      <c r="K34" s="109"/>
      <c r="L34" s="109"/>
      <c r="M34" s="109"/>
      <c r="N34" s="109"/>
    </row>
    <row r="35" spans="1:14" ht="19" customHeight="1" x14ac:dyDescent="0.2">
      <c r="B35" s="109"/>
      <c r="C35" s="109"/>
      <c r="D35" s="109"/>
      <c r="E35" s="109"/>
      <c r="F35" s="109"/>
      <c r="G35" s="109"/>
      <c r="H35" s="109"/>
      <c r="I35" s="109"/>
      <c r="J35" s="109"/>
      <c r="K35" s="109"/>
      <c r="L35" s="109"/>
      <c r="M35" s="109"/>
      <c r="N35" s="109"/>
    </row>
    <row r="36" spans="1:14" ht="19" customHeight="1" x14ac:dyDescent="0.2">
      <c r="A36" s="98" t="s">
        <v>2</v>
      </c>
      <c r="B36" s="109"/>
      <c r="C36" s="109"/>
      <c r="D36" s="109"/>
      <c r="E36" s="109"/>
      <c r="F36" s="109"/>
      <c r="G36" s="109"/>
      <c r="H36" s="109"/>
      <c r="I36" s="109"/>
      <c r="J36" s="109"/>
      <c r="K36" s="109"/>
      <c r="L36" s="109"/>
      <c r="M36" s="109"/>
      <c r="N36" s="109"/>
    </row>
    <row r="37" spans="1:14" ht="19" customHeight="1" x14ac:dyDescent="0.2">
      <c r="B37" s="109"/>
      <c r="C37" s="109"/>
      <c r="D37" s="109"/>
      <c r="E37" s="109"/>
      <c r="F37" s="109"/>
      <c r="G37" s="109"/>
      <c r="H37" s="109"/>
      <c r="I37" s="109"/>
      <c r="J37" s="109"/>
      <c r="K37" s="109"/>
      <c r="L37" s="109"/>
      <c r="M37" s="109"/>
      <c r="N37" s="109"/>
    </row>
    <row r="38" spans="1:14" ht="19" customHeight="1" x14ac:dyDescent="0.2">
      <c r="A38" s="98" t="s">
        <v>2</v>
      </c>
      <c r="B38" s="109"/>
      <c r="C38" s="109"/>
      <c r="D38" s="109"/>
      <c r="E38" s="109"/>
      <c r="F38" s="109"/>
      <c r="G38" s="109"/>
      <c r="H38" s="109"/>
      <c r="I38" s="109"/>
      <c r="J38" s="108"/>
      <c r="K38" s="108"/>
      <c r="L38" s="108"/>
      <c r="M38" s="108"/>
      <c r="N38" s="108"/>
    </row>
    <row r="39" spans="1:14" ht="19" customHeight="1" x14ac:dyDescent="0.2">
      <c r="C39" s="108"/>
      <c r="D39" s="108"/>
      <c r="E39" s="108"/>
      <c r="F39" s="108"/>
      <c r="G39" s="108"/>
      <c r="H39" s="108"/>
      <c r="I39" s="108"/>
      <c r="J39" s="108"/>
      <c r="K39" s="108"/>
      <c r="L39" s="108"/>
      <c r="M39" s="108"/>
      <c r="N39" s="108"/>
    </row>
    <row r="40" spans="1:14" ht="19" customHeight="1" x14ac:dyDescent="0.2">
      <c r="C40" s="108"/>
      <c r="D40" s="108"/>
      <c r="E40" s="108"/>
      <c r="F40" s="108"/>
      <c r="G40" s="108"/>
      <c r="H40" s="108"/>
      <c r="I40" s="108"/>
      <c r="J40" s="108"/>
      <c r="K40" s="108"/>
      <c r="L40" s="108"/>
      <c r="M40" s="108"/>
      <c r="N40" s="108"/>
    </row>
    <row r="41" spans="1:14" ht="19" customHeight="1" x14ac:dyDescent="0.2">
      <c r="C41" s="108"/>
      <c r="D41" s="108"/>
      <c r="E41" s="108"/>
      <c r="F41" s="108"/>
      <c r="G41" s="108"/>
      <c r="H41" s="108"/>
      <c r="I41" s="108"/>
      <c r="J41" s="108"/>
      <c r="K41" s="108"/>
      <c r="L41" s="108"/>
      <c r="M41" s="108"/>
      <c r="N41" s="108"/>
    </row>
    <row r="42" spans="1:14" x14ac:dyDescent="0.2">
      <c r="C42" s="108"/>
      <c r="D42" s="108"/>
      <c r="E42" s="108"/>
      <c r="F42" s="108"/>
      <c r="G42" s="108"/>
      <c r="H42" s="108"/>
      <c r="I42" s="108"/>
    </row>
  </sheetData>
  <sheetProtection formatCells="0" formatColumns="0" formatRows="0" insertColumns="0" insertRows="0"/>
  <mergeCells count="21">
    <mergeCell ref="B4:I5"/>
    <mergeCell ref="B6:H6"/>
    <mergeCell ref="B7:Q7"/>
    <mergeCell ref="C8:I8"/>
    <mergeCell ref="C9:I9"/>
    <mergeCell ref="C23:Q23"/>
    <mergeCell ref="C24:Q24"/>
    <mergeCell ref="F1:G1"/>
    <mergeCell ref="C17:I17"/>
    <mergeCell ref="C18:I18"/>
    <mergeCell ref="B19:Q19"/>
    <mergeCell ref="C20:Q20"/>
    <mergeCell ref="C21:Q21"/>
    <mergeCell ref="C22:Q22"/>
    <mergeCell ref="C10:I10"/>
    <mergeCell ref="C11:I11"/>
    <mergeCell ref="B13:Q13"/>
    <mergeCell ref="C14:I14"/>
    <mergeCell ref="C15:I15"/>
    <mergeCell ref="C16:I16"/>
    <mergeCell ref="H1:I1"/>
  </mergeCells>
  <pageMargins left="0.25" right="0.17" top="0.74803149606299213" bottom="0.74803149606299213" header="0.31496062992125984" footer="0.31496062992125984"/>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1C217-77BD-704E-964B-C88027B957C5}">
  <dimension ref="A1:Z249"/>
  <sheetViews>
    <sheetView showGridLines="0" zoomScale="90" zoomScaleNormal="90" workbookViewId="0"/>
  </sheetViews>
  <sheetFormatPr baseColWidth="10" defaultRowHeight="16" x14ac:dyDescent="0.2"/>
  <cols>
    <col min="1" max="1" width="50.33203125" style="1" customWidth="1"/>
    <col min="2" max="2" width="47.6640625" style="3" customWidth="1"/>
    <col min="3" max="3" width="15.1640625" style="1" customWidth="1"/>
    <col min="4" max="4" width="3.83203125" style="1" customWidth="1"/>
    <col min="5" max="19" width="10.83203125" style="1"/>
    <col min="20" max="26" width="10.83203125" style="60"/>
    <col min="27" max="16384" width="10.83203125" style="1"/>
  </cols>
  <sheetData>
    <row r="1" spans="1:26" ht="72" customHeight="1" x14ac:dyDescent="0.2">
      <c r="E1" s="43"/>
      <c r="F1" s="23"/>
      <c r="H1" s="42" t="s">
        <v>134</v>
      </c>
      <c r="I1" s="114"/>
      <c r="J1" s="114"/>
      <c r="K1" s="32"/>
      <c r="L1" s="42"/>
      <c r="M1" s="114"/>
      <c r="N1" s="114"/>
      <c r="P1"/>
      <c r="Q1"/>
      <c r="R1"/>
      <c r="T1" s="59" t="s">
        <v>420</v>
      </c>
      <c r="U1" s="59" t="s">
        <v>422</v>
      </c>
      <c r="V1" s="59"/>
      <c r="X1" s="59" t="s">
        <v>421</v>
      </c>
      <c r="Y1" s="59" t="s">
        <v>422</v>
      </c>
    </row>
    <row r="2" spans="1:26" ht="40" customHeight="1" x14ac:dyDescent="0.2">
      <c r="A2" s="14"/>
      <c r="B2" s="14"/>
      <c r="C2" s="14"/>
      <c r="D2" s="14"/>
      <c r="E2" s="14"/>
      <c r="F2" s="14"/>
      <c r="G2" s="14"/>
      <c r="H2" s="14"/>
      <c r="I2" s="14"/>
      <c r="J2" s="14"/>
      <c r="K2" s="14"/>
      <c r="L2" s="14"/>
      <c r="M2" s="14"/>
      <c r="P2"/>
      <c r="Q2"/>
      <c r="R2"/>
      <c r="T2" s="59" t="s">
        <v>425</v>
      </c>
      <c r="U2" s="59">
        <f t="shared" ref="U2:U21" si="0">COUNTIF($B$33:$B$232,$T2)</f>
        <v>24</v>
      </c>
      <c r="V2" s="61">
        <f t="shared" ref="V2:V21" si="1">$U2/(200-COUNTBLANK($B$33:$B$232))</f>
        <v>0.1875</v>
      </c>
      <c r="X2" s="59" t="s">
        <v>426</v>
      </c>
      <c r="Y2" s="59">
        <f>COUNTIF($C$33:$C$232,$X2)</f>
        <v>58</v>
      </c>
      <c r="Z2" s="62">
        <f>$Y2/(200-COUNTBLANK($B$33:$B$232))</f>
        <v>0.453125</v>
      </c>
    </row>
    <row r="3" spans="1:26" ht="15.75" customHeight="1" x14ac:dyDescent="0.2">
      <c r="A3" s="29"/>
      <c r="B3" s="29"/>
      <c r="C3" s="29"/>
      <c r="D3" s="29"/>
      <c r="E3" s="29"/>
      <c r="F3" s="14"/>
      <c r="G3" s="14"/>
      <c r="H3" s="14"/>
      <c r="P3"/>
      <c r="Q3"/>
      <c r="R3"/>
      <c r="T3" s="59" t="s">
        <v>429</v>
      </c>
      <c r="U3" s="59">
        <f t="shared" si="0"/>
        <v>17</v>
      </c>
      <c r="V3" s="61">
        <f t="shared" si="1"/>
        <v>0.1328125</v>
      </c>
      <c r="X3" s="59" t="s">
        <v>428</v>
      </c>
      <c r="Y3" s="59">
        <f>COUNTIF($C$33:$C$232,$X3)</f>
        <v>35</v>
      </c>
      <c r="Z3" s="62">
        <f>$Y3/(200-COUNTBLANK($B$33:$B$232))</f>
        <v>0.2734375</v>
      </c>
    </row>
    <row r="4" spans="1:26" ht="15.75" customHeight="1" x14ac:dyDescent="0.2">
      <c r="A4" s="29"/>
      <c r="B4" s="29"/>
      <c r="C4" s="29"/>
      <c r="D4" s="29"/>
      <c r="E4" s="29"/>
      <c r="F4" s="14"/>
      <c r="G4" s="14"/>
      <c r="H4" s="14"/>
      <c r="P4"/>
      <c r="Q4"/>
      <c r="R4"/>
      <c r="T4" s="59" t="s">
        <v>431</v>
      </c>
      <c r="U4" s="59">
        <f t="shared" si="0"/>
        <v>10</v>
      </c>
      <c r="V4" s="61">
        <f t="shared" si="1"/>
        <v>7.8125E-2</v>
      </c>
      <c r="X4" s="59" t="s">
        <v>424</v>
      </c>
      <c r="Y4" s="59">
        <f>COUNTIF($C$33:$C$232,$X4)</f>
        <v>35</v>
      </c>
      <c r="Z4" s="62">
        <f>$Y4/(200-COUNTBLANK($B$33:$B$232))</f>
        <v>0.2734375</v>
      </c>
    </row>
    <row r="5" spans="1:26" ht="15.75" customHeight="1" x14ac:dyDescent="0.2">
      <c r="A5" s="29"/>
      <c r="B5" s="29"/>
      <c r="C5" s="29"/>
      <c r="D5" s="29"/>
      <c r="E5" s="29"/>
      <c r="F5" s="14"/>
      <c r="G5" s="14"/>
      <c r="H5" s="14"/>
      <c r="P5"/>
      <c r="Q5"/>
      <c r="R5"/>
      <c r="T5" s="59" t="s">
        <v>432</v>
      </c>
      <c r="U5" s="59">
        <f t="shared" si="0"/>
        <v>10</v>
      </c>
      <c r="V5" s="61">
        <f t="shared" si="1"/>
        <v>7.8125E-2</v>
      </c>
    </row>
    <row r="6" spans="1:26" ht="15.75" customHeight="1" x14ac:dyDescent="0.2">
      <c r="A6" s="29"/>
      <c r="B6" s="29"/>
      <c r="C6" s="29"/>
      <c r="D6" s="29"/>
      <c r="E6" s="29"/>
      <c r="F6" s="14"/>
      <c r="G6" s="14"/>
      <c r="H6" s="14"/>
      <c r="P6"/>
      <c r="Q6"/>
      <c r="R6"/>
      <c r="T6" s="59" t="s">
        <v>433</v>
      </c>
      <c r="U6" s="59">
        <f t="shared" si="0"/>
        <v>9</v>
      </c>
      <c r="V6" s="61">
        <f t="shared" si="1"/>
        <v>7.03125E-2</v>
      </c>
    </row>
    <row r="7" spans="1:26" ht="15.75" customHeight="1" x14ac:dyDescent="0.2">
      <c r="A7" s="29"/>
      <c r="B7" s="29"/>
      <c r="C7" s="29"/>
      <c r="D7" s="29"/>
      <c r="E7" s="29"/>
      <c r="F7" s="14"/>
      <c r="G7" s="14"/>
      <c r="H7" s="14"/>
      <c r="P7"/>
      <c r="Q7"/>
      <c r="R7"/>
      <c r="T7" s="59" t="s">
        <v>435</v>
      </c>
      <c r="U7" s="59">
        <f t="shared" si="0"/>
        <v>8</v>
      </c>
      <c r="V7" s="61">
        <f t="shared" si="1"/>
        <v>6.25E-2</v>
      </c>
    </row>
    <row r="8" spans="1:26" ht="15.75" customHeight="1" x14ac:dyDescent="0.2">
      <c r="A8" s="29"/>
      <c r="B8" s="29"/>
      <c r="C8" s="29"/>
      <c r="D8" s="29"/>
      <c r="E8" s="29"/>
      <c r="F8" s="14"/>
      <c r="G8" s="14"/>
      <c r="H8" s="14"/>
      <c r="P8"/>
      <c r="Q8"/>
      <c r="R8"/>
      <c r="T8" s="59" t="s">
        <v>436</v>
      </c>
      <c r="U8" s="59">
        <f t="shared" si="0"/>
        <v>8</v>
      </c>
      <c r="V8" s="61">
        <f t="shared" si="1"/>
        <v>6.25E-2</v>
      </c>
    </row>
    <row r="9" spans="1:26" ht="15.75" customHeight="1" x14ac:dyDescent="0.2">
      <c r="A9" s="29"/>
      <c r="B9" s="29"/>
      <c r="C9" s="29"/>
      <c r="D9" s="29"/>
      <c r="E9" s="29"/>
      <c r="F9" s="14"/>
      <c r="G9" s="14"/>
      <c r="H9" s="14"/>
      <c r="P9"/>
      <c r="Q9"/>
      <c r="R9"/>
      <c r="T9" s="59" t="s">
        <v>423</v>
      </c>
      <c r="U9" s="59">
        <f t="shared" si="0"/>
        <v>8</v>
      </c>
      <c r="V9" s="61">
        <f t="shared" si="1"/>
        <v>6.25E-2</v>
      </c>
    </row>
    <row r="10" spans="1:26" ht="15.75" customHeight="1" x14ac:dyDescent="0.2">
      <c r="A10" s="29"/>
      <c r="B10" s="29"/>
      <c r="C10" s="29"/>
      <c r="D10" s="29"/>
      <c r="E10" s="29"/>
      <c r="F10" s="14"/>
      <c r="G10" s="14"/>
      <c r="H10" s="14"/>
      <c r="P10"/>
      <c r="Q10"/>
      <c r="R10"/>
      <c r="T10" s="59" t="s">
        <v>430</v>
      </c>
      <c r="U10" s="59">
        <f t="shared" si="0"/>
        <v>5</v>
      </c>
      <c r="V10" s="61">
        <f t="shared" si="1"/>
        <v>3.90625E-2</v>
      </c>
    </row>
    <row r="11" spans="1:26" ht="15.75" customHeight="1" x14ac:dyDescent="0.2">
      <c r="A11" s="29"/>
      <c r="B11" s="29"/>
      <c r="C11" s="29"/>
      <c r="D11" s="29"/>
      <c r="E11" s="29"/>
      <c r="F11" s="14"/>
      <c r="G11" s="14"/>
      <c r="H11" s="14"/>
      <c r="P11"/>
      <c r="Q11"/>
      <c r="R11"/>
      <c r="T11" s="59" t="s">
        <v>437</v>
      </c>
      <c r="U11" s="59">
        <f t="shared" si="0"/>
        <v>5</v>
      </c>
      <c r="V11" s="61">
        <f t="shared" si="1"/>
        <v>3.90625E-2</v>
      </c>
    </row>
    <row r="12" spans="1:26" ht="15.75" customHeight="1" x14ac:dyDescent="0.2">
      <c r="A12" s="29"/>
      <c r="B12" s="29"/>
      <c r="C12" s="29"/>
      <c r="D12" s="29"/>
      <c r="E12" s="29"/>
      <c r="F12" s="14"/>
      <c r="G12" s="14"/>
      <c r="H12" s="14"/>
      <c r="P12"/>
      <c r="Q12"/>
      <c r="R12"/>
      <c r="T12" s="59" t="s">
        <v>438</v>
      </c>
      <c r="U12" s="59">
        <f t="shared" si="0"/>
        <v>4</v>
      </c>
      <c r="V12" s="61">
        <f t="shared" si="1"/>
        <v>3.125E-2</v>
      </c>
    </row>
    <row r="13" spans="1:26" ht="15.75" customHeight="1" x14ac:dyDescent="0.2">
      <c r="A13" s="29"/>
      <c r="B13" s="29"/>
      <c r="C13" s="29"/>
      <c r="D13" s="29"/>
      <c r="E13" s="29"/>
      <c r="F13" s="14"/>
      <c r="G13" s="14"/>
      <c r="H13" s="14"/>
      <c r="P13"/>
      <c r="Q13"/>
      <c r="R13"/>
      <c r="T13" s="59" t="s">
        <v>439</v>
      </c>
      <c r="U13" s="59">
        <f t="shared" si="0"/>
        <v>4</v>
      </c>
      <c r="V13" s="61">
        <f t="shared" si="1"/>
        <v>3.125E-2</v>
      </c>
    </row>
    <row r="14" spans="1:26" ht="15.75" customHeight="1" x14ac:dyDescent="0.2">
      <c r="A14" s="29"/>
      <c r="B14" s="29"/>
      <c r="C14" s="29"/>
      <c r="D14" s="29"/>
      <c r="E14" s="29"/>
      <c r="F14" s="14"/>
      <c r="G14" s="14"/>
      <c r="H14" s="14"/>
      <c r="P14"/>
      <c r="Q14"/>
      <c r="R14"/>
      <c r="T14" s="59" t="s">
        <v>440</v>
      </c>
      <c r="U14" s="59">
        <f t="shared" si="0"/>
        <v>4</v>
      </c>
      <c r="V14" s="61">
        <f t="shared" si="1"/>
        <v>3.125E-2</v>
      </c>
    </row>
    <row r="15" spans="1:26" ht="15.75" customHeight="1" x14ac:dyDescent="0.2">
      <c r="A15" s="29"/>
      <c r="B15" s="29"/>
      <c r="C15" s="29"/>
      <c r="D15" s="29"/>
      <c r="E15" s="29"/>
      <c r="F15" s="14"/>
      <c r="G15" s="14"/>
      <c r="H15" s="14"/>
      <c r="P15"/>
      <c r="Q15"/>
      <c r="R15"/>
      <c r="T15" s="59" t="s">
        <v>442</v>
      </c>
      <c r="U15" s="59">
        <f t="shared" si="0"/>
        <v>4</v>
      </c>
      <c r="V15" s="61">
        <f t="shared" si="1"/>
        <v>3.125E-2</v>
      </c>
    </row>
    <row r="16" spans="1:26" ht="15.75" customHeight="1" x14ac:dyDescent="0.2">
      <c r="A16" s="29"/>
      <c r="B16" s="29"/>
      <c r="C16" s="29"/>
      <c r="D16" s="29"/>
      <c r="E16" s="29"/>
      <c r="F16" s="14"/>
      <c r="G16" s="14"/>
      <c r="H16" s="14"/>
      <c r="P16"/>
      <c r="Q16"/>
      <c r="R16"/>
      <c r="T16" s="59" t="s">
        <v>443</v>
      </c>
      <c r="U16" s="59">
        <f t="shared" si="0"/>
        <v>2</v>
      </c>
      <c r="V16" s="61">
        <f t="shared" si="1"/>
        <v>1.5625E-2</v>
      </c>
    </row>
    <row r="17" spans="1:22" ht="15.75" customHeight="1" x14ac:dyDescent="0.2">
      <c r="A17" s="29"/>
      <c r="B17" s="29"/>
      <c r="C17" s="29"/>
      <c r="D17" s="29"/>
      <c r="E17" s="29"/>
      <c r="F17" s="14"/>
      <c r="G17" s="14"/>
      <c r="H17" s="14"/>
      <c r="P17"/>
      <c r="Q17"/>
      <c r="R17"/>
      <c r="T17" s="59" t="s">
        <v>434</v>
      </c>
      <c r="U17" s="59">
        <f t="shared" si="0"/>
        <v>2</v>
      </c>
      <c r="V17" s="61">
        <f t="shared" si="1"/>
        <v>1.5625E-2</v>
      </c>
    </row>
    <row r="18" spans="1:22" ht="15.75" customHeight="1" x14ac:dyDescent="0.2">
      <c r="A18" s="29"/>
      <c r="B18" s="29"/>
      <c r="C18" s="29"/>
      <c r="D18" s="29"/>
      <c r="E18" s="29"/>
      <c r="F18" s="14"/>
      <c r="G18" s="14"/>
      <c r="H18" s="14"/>
      <c r="P18"/>
      <c r="Q18"/>
      <c r="R18"/>
      <c r="T18" s="59" t="s">
        <v>427</v>
      </c>
      <c r="U18" s="59">
        <f t="shared" si="0"/>
        <v>1</v>
      </c>
      <c r="V18" s="61">
        <f t="shared" si="1"/>
        <v>7.8125E-3</v>
      </c>
    </row>
    <row r="19" spans="1:22" ht="15" customHeight="1" x14ac:dyDescent="0.2">
      <c r="A19" s="29"/>
      <c r="B19" s="29"/>
      <c r="C19" s="29"/>
      <c r="D19" s="29"/>
      <c r="E19" s="29"/>
      <c r="F19" s="14"/>
      <c r="G19" s="14"/>
      <c r="H19" s="14"/>
      <c r="P19"/>
      <c r="Q19"/>
      <c r="R19"/>
      <c r="T19" s="59" t="s">
        <v>444</v>
      </c>
      <c r="U19" s="59">
        <f t="shared" si="0"/>
        <v>1</v>
      </c>
      <c r="V19" s="61">
        <f t="shared" si="1"/>
        <v>7.8125E-3</v>
      </c>
    </row>
    <row r="20" spans="1:22" ht="15.75" customHeight="1" x14ac:dyDescent="0.2">
      <c r="A20" s="29"/>
      <c r="B20" s="29"/>
      <c r="C20" s="29"/>
      <c r="D20" s="29"/>
      <c r="E20" s="29"/>
      <c r="F20" s="14"/>
      <c r="G20" s="14"/>
      <c r="H20" s="14"/>
      <c r="P20"/>
      <c r="Q20"/>
      <c r="R20"/>
      <c r="T20" s="59" t="s">
        <v>441</v>
      </c>
      <c r="U20" s="59">
        <f t="shared" si="0"/>
        <v>1</v>
      </c>
      <c r="V20" s="61">
        <f t="shared" si="1"/>
        <v>7.8125E-3</v>
      </c>
    </row>
    <row r="21" spans="1:22" ht="15.75" customHeight="1" x14ac:dyDescent="0.2">
      <c r="A21" s="29"/>
      <c r="B21" s="29"/>
      <c r="C21" s="29"/>
      <c r="D21" s="29"/>
      <c r="E21" s="29"/>
      <c r="F21" s="14"/>
      <c r="G21" s="14"/>
      <c r="H21" s="14"/>
      <c r="P21"/>
      <c r="Q21"/>
      <c r="R21"/>
      <c r="T21" s="59" t="s">
        <v>445</v>
      </c>
      <c r="U21" s="59">
        <f t="shared" si="0"/>
        <v>1</v>
      </c>
      <c r="V21" s="61">
        <f t="shared" si="1"/>
        <v>7.8125E-3</v>
      </c>
    </row>
    <row r="22" spans="1:22" ht="15.75" customHeight="1" x14ac:dyDescent="0.2">
      <c r="A22" s="29"/>
      <c r="B22" s="29"/>
      <c r="C22" s="29"/>
      <c r="D22" s="29"/>
      <c r="E22" s="29"/>
      <c r="F22" s="14"/>
      <c r="G22" s="14"/>
      <c r="H22" s="14"/>
      <c r="P22"/>
      <c r="Q22"/>
      <c r="R22"/>
    </row>
    <row r="23" spans="1:22" ht="15.75" customHeight="1" x14ac:dyDescent="0.2">
      <c r="A23" s="29"/>
      <c r="B23" s="29"/>
      <c r="C23" s="29"/>
      <c r="D23" s="29"/>
      <c r="E23" s="29"/>
      <c r="F23" s="14"/>
      <c r="G23" s="14"/>
      <c r="H23" s="14"/>
      <c r="P23"/>
      <c r="Q23"/>
      <c r="R23"/>
    </row>
    <row r="24" spans="1:22" ht="15.75" customHeight="1" x14ac:dyDescent="0.2">
      <c r="A24" s="29"/>
      <c r="B24" s="29"/>
      <c r="C24" s="29"/>
      <c r="D24" s="29"/>
      <c r="E24" s="29"/>
      <c r="F24" s="14"/>
      <c r="G24" s="14"/>
      <c r="H24" s="14"/>
      <c r="P24"/>
      <c r="Q24"/>
      <c r="R24"/>
    </row>
    <row r="25" spans="1:22" ht="15.75" customHeight="1" x14ac:dyDescent="0.2">
      <c r="A25" s="29"/>
      <c r="B25" s="29"/>
      <c r="C25" s="29"/>
      <c r="D25" s="29"/>
      <c r="E25" s="29"/>
      <c r="F25" s="14"/>
      <c r="G25" s="14"/>
      <c r="H25" s="14"/>
      <c r="P25"/>
      <c r="Q25"/>
      <c r="R25"/>
    </row>
    <row r="26" spans="1:22" ht="15.75" customHeight="1" x14ac:dyDescent="0.2">
      <c r="A26" s="29"/>
      <c r="B26" s="29"/>
      <c r="C26" s="29"/>
      <c r="D26" s="29"/>
      <c r="E26" s="29"/>
      <c r="F26" s="14"/>
      <c r="G26" s="14"/>
      <c r="H26" s="14"/>
      <c r="P26"/>
      <c r="Q26"/>
      <c r="R26"/>
    </row>
    <row r="27" spans="1:22" ht="11" customHeight="1" x14ac:dyDescent="0.2">
      <c r="A27" s="29"/>
      <c r="B27" s="29"/>
      <c r="C27" s="29"/>
      <c r="D27" s="29"/>
      <c r="E27" s="29"/>
      <c r="F27" s="14"/>
      <c r="G27" s="14"/>
      <c r="H27" s="14"/>
      <c r="P27"/>
      <c r="Q27"/>
      <c r="R27"/>
    </row>
    <row r="28" spans="1:22" ht="15.75" customHeight="1" x14ac:dyDescent="0.2">
      <c r="A28" s="27"/>
      <c r="B28" s="27"/>
      <c r="C28" s="27"/>
      <c r="D28" s="27"/>
      <c r="E28" s="123"/>
      <c r="F28" s="123"/>
      <c r="G28" s="123"/>
      <c r="H28" s="14"/>
      <c r="P28"/>
      <c r="Q28"/>
      <c r="R28"/>
    </row>
    <row r="29" spans="1:22" ht="15.75" customHeight="1" x14ac:dyDescent="0.2">
      <c r="A29" s="27"/>
      <c r="B29" s="27"/>
      <c r="C29" s="27"/>
      <c r="D29" s="27"/>
      <c r="E29" s="24"/>
      <c r="F29" s="24"/>
      <c r="G29" s="24"/>
      <c r="H29" s="14"/>
      <c r="P29"/>
      <c r="Q29"/>
      <c r="R29"/>
    </row>
    <row r="30" spans="1:22" ht="15.75" customHeight="1" x14ac:dyDescent="0.2">
      <c r="A30" s="123"/>
      <c r="B30" s="123"/>
      <c r="C30" s="123"/>
      <c r="D30" s="30"/>
      <c r="E30" s="24"/>
      <c r="F30" s="24"/>
      <c r="G30" s="24"/>
      <c r="H30" s="14"/>
      <c r="P30"/>
      <c r="Q30"/>
      <c r="R30"/>
    </row>
    <row r="31" spans="1:22" ht="15.75" customHeight="1" x14ac:dyDescent="0.2">
      <c r="A31" s="27"/>
      <c r="B31" s="27"/>
      <c r="C31" s="27"/>
      <c r="D31" s="27"/>
      <c r="E31" s="24"/>
      <c r="F31" s="24"/>
      <c r="G31" s="24"/>
      <c r="H31" s="14"/>
      <c r="P31"/>
      <c r="Q31"/>
      <c r="R31"/>
    </row>
    <row r="32" spans="1:22" ht="17" thickBot="1" x14ac:dyDescent="0.25">
      <c r="A32" s="57" t="s">
        <v>419</v>
      </c>
      <c r="B32" s="58" t="s">
        <v>420</v>
      </c>
      <c r="C32" s="58" t="s">
        <v>421</v>
      </c>
      <c r="D32" s="19"/>
      <c r="E32" s="19"/>
      <c r="N32" s="16"/>
      <c r="P32" s="17"/>
      <c r="Q32"/>
      <c r="R32"/>
    </row>
    <row r="33" spans="1:18" ht="17" thickTop="1" x14ac:dyDescent="0.2">
      <c r="A33"/>
      <c r="B33"/>
      <c r="C33"/>
      <c r="D33" s="19"/>
      <c r="E33" s="19"/>
      <c r="N33" s="16"/>
      <c r="P33" s="17"/>
      <c r="Q33"/>
      <c r="R33"/>
    </row>
    <row r="34" spans="1:18" x14ac:dyDescent="0.2">
      <c r="A34"/>
      <c r="B34"/>
      <c r="C34"/>
      <c r="D34" s="19"/>
      <c r="E34" s="19"/>
      <c r="N34" s="16"/>
      <c r="P34" s="17"/>
      <c r="Q34"/>
      <c r="R34"/>
    </row>
    <row r="35" spans="1:18" x14ac:dyDescent="0.2">
      <c r="A35"/>
      <c r="B35"/>
      <c r="C35"/>
      <c r="D35" s="19"/>
      <c r="E35" s="19"/>
      <c r="N35" s="16"/>
      <c r="P35" s="17"/>
      <c r="Q35"/>
      <c r="R35"/>
    </row>
    <row r="36" spans="1:18" x14ac:dyDescent="0.2">
      <c r="A36"/>
      <c r="B36"/>
      <c r="C36"/>
      <c r="D36" s="19"/>
      <c r="E36" s="19"/>
      <c r="N36" s="16"/>
      <c r="P36" s="17"/>
      <c r="Q36"/>
      <c r="R36"/>
    </row>
    <row r="37" spans="1:18" x14ac:dyDescent="0.2">
      <c r="A37"/>
      <c r="B37"/>
      <c r="C37"/>
      <c r="D37" s="19"/>
      <c r="E37" s="19"/>
      <c r="N37" s="16"/>
      <c r="P37" s="17"/>
      <c r="Q37"/>
      <c r="R37"/>
    </row>
    <row r="38" spans="1:18" x14ac:dyDescent="0.2">
      <c r="A38"/>
      <c r="B38"/>
      <c r="C38"/>
      <c r="D38" s="19"/>
      <c r="E38" s="19"/>
      <c r="N38" s="16"/>
      <c r="P38" s="17"/>
      <c r="Q38"/>
      <c r="R38"/>
    </row>
    <row r="39" spans="1:18" x14ac:dyDescent="0.2">
      <c r="A39"/>
      <c r="B39"/>
      <c r="C39"/>
      <c r="D39" s="19"/>
      <c r="E39" s="19"/>
      <c r="N39" s="16"/>
      <c r="P39" s="17"/>
      <c r="Q39"/>
      <c r="R39"/>
    </row>
    <row r="40" spans="1:18" x14ac:dyDescent="0.2">
      <c r="A40"/>
      <c r="B40"/>
      <c r="C40"/>
      <c r="D40" s="19"/>
      <c r="E40" s="19"/>
      <c r="N40" s="16"/>
      <c r="P40" s="17"/>
      <c r="Q40"/>
      <c r="R40"/>
    </row>
    <row r="41" spans="1:18" x14ac:dyDescent="0.2">
      <c r="A41"/>
      <c r="B41"/>
      <c r="C41"/>
      <c r="D41" s="19"/>
      <c r="E41" s="19"/>
      <c r="N41" s="16"/>
      <c r="P41" s="17"/>
      <c r="Q41"/>
      <c r="R41"/>
    </row>
    <row r="42" spans="1:18" x14ac:dyDescent="0.2">
      <c r="A42"/>
      <c r="B42"/>
      <c r="C42"/>
      <c r="D42" s="19"/>
      <c r="E42" s="19"/>
      <c r="N42" s="16"/>
      <c r="P42" s="17"/>
      <c r="Q42"/>
      <c r="R42"/>
    </row>
    <row r="43" spans="1:18" x14ac:dyDescent="0.2">
      <c r="A43"/>
      <c r="B43"/>
      <c r="C43"/>
      <c r="D43" s="19"/>
      <c r="E43" s="19"/>
      <c r="N43" s="16"/>
      <c r="P43" s="17"/>
      <c r="Q43"/>
      <c r="R43"/>
    </row>
    <row r="44" spans="1:18" x14ac:dyDescent="0.2">
      <c r="A44"/>
      <c r="B44"/>
      <c r="C44"/>
      <c r="D44" s="19"/>
      <c r="E44" s="19"/>
      <c r="N44" s="16"/>
      <c r="P44" s="17"/>
      <c r="Q44"/>
      <c r="R44"/>
    </row>
    <row r="45" spans="1:18" x14ac:dyDescent="0.2">
      <c r="A45"/>
      <c r="B45"/>
      <c r="C45"/>
      <c r="D45" s="19"/>
      <c r="E45" s="19"/>
      <c r="N45" s="16"/>
      <c r="P45" s="17"/>
      <c r="Q45"/>
      <c r="R45"/>
    </row>
    <row r="46" spans="1:18" x14ac:dyDescent="0.2">
      <c r="A46"/>
      <c r="B46"/>
      <c r="C46"/>
      <c r="D46" s="19"/>
      <c r="E46" s="19"/>
      <c r="N46" s="16"/>
      <c r="P46" s="17"/>
      <c r="Q46"/>
      <c r="R46"/>
    </row>
    <row r="47" spans="1:18" x14ac:dyDescent="0.2">
      <c r="A47"/>
      <c r="B47"/>
      <c r="C47"/>
      <c r="D47" s="19"/>
      <c r="E47" s="19"/>
      <c r="N47" s="16"/>
      <c r="P47" s="17"/>
      <c r="Q47"/>
      <c r="R47"/>
    </row>
    <row r="48" spans="1:18" x14ac:dyDescent="0.2">
      <c r="A48"/>
      <c r="B48"/>
      <c r="C48"/>
      <c r="D48" s="19"/>
      <c r="E48" s="19"/>
      <c r="N48" s="16"/>
      <c r="P48" s="17"/>
      <c r="Q48"/>
      <c r="R48"/>
    </row>
    <row r="49" spans="1:18" x14ac:dyDescent="0.2">
      <c r="A49"/>
      <c r="B49"/>
      <c r="C49"/>
      <c r="D49" s="19"/>
      <c r="E49" s="19"/>
      <c r="N49" s="16"/>
      <c r="P49" s="17"/>
      <c r="Q49"/>
      <c r="R49"/>
    </row>
    <row r="50" spans="1:18" x14ac:dyDescent="0.2">
      <c r="A50"/>
      <c r="B50"/>
      <c r="C50"/>
      <c r="D50" s="19"/>
      <c r="E50" s="19"/>
      <c r="N50" s="16"/>
      <c r="P50" s="17"/>
      <c r="Q50"/>
      <c r="R50"/>
    </row>
    <row r="51" spans="1:18" x14ac:dyDescent="0.2">
      <c r="A51"/>
      <c r="B51"/>
      <c r="C51"/>
      <c r="D51" s="19"/>
      <c r="E51" s="19"/>
      <c r="N51" s="16"/>
      <c r="P51" s="17"/>
      <c r="Q51"/>
      <c r="R51"/>
    </row>
    <row r="52" spans="1:18" x14ac:dyDescent="0.2">
      <c r="A52"/>
      <c r="B52"/>
      <c r="C52"/>
      <c r="D52" s="19"/>
      <c r="E52" s="19"/>
      <c r="F52" s="19"/>
      <c r="N52" s="16"/>
      <c r="P52" s="17"/>
      <c r="Q52"/>
      <c r="R52"/>
    </row>
    <row r="53" spans="1:18" x14ac:dyDescent="0.2">
      <c r="A53"/>
      <c r="B53"/>
      <c r="C53"/>
      <c r="D53" s="19"/>
      <c r="E53" s="19"/>
      <c r="N53" s="16"/>
      <c r="P53" s="17"/>
      <c r="Q53"/>
      <c r="R53"/>
    </row>
    <row r="54" spans="1:18" x14ac:dyDescent="0.2">
      <c r="A54"/>
      <c r="B54"/>
      <c r="C54"/>
      <c r="D54" s="19"/>
      <c r="E54" s="19"/>
      <c r="F54" s="19"/>
      <c r="N54" s="16"/>
      <c r="P54" s="17"/>
      <c r="Q54"/>
      <c r="R54"/>
    </row>
    <row r="55" spans="1:18" x14ac:dyDescent="0.2">
      <c r="A55"/>
      <c r="B55"/>
      <c r="C55"/>
      <c r="D55" s="19"/>
      <c r="E55" s="19"/>
      <c r="N55" s="16"/>
      <c r="P55" s="17"/>
      <c r="Q55"/>
      <c r="R55"/>
    </row>
    <row r="56" spans="1:18" x14ac:dyDescent="0.2">
      <c r="A56"/>
      <c r="B56"/>
      <c r="C56"/>
      <c r="D56" s="19"/>
      <c r="E56" s="19"/>
      <c r="N56" s="16"/>
      <c r="P56" s="17"/>
      <c r="Q56"/>
      <c r="R56"/>
    </row>
    <row r="57" spans="1:18" x14ac:dyDescent="0.2">
      <c r="A57"/>
      <c r="B57"/>
      <c r="C57"/>
      <c r="D57" s="19"/>
      <c r="E57" s="19"/>
      <c r="N57" s="16"/>
      <c r="P57" s="17"/>
      <c r="Q57"/>
      <c r="R57"/>
    </row>
    <row r="58" spans="1:18" x14ac:dyDescent="0.2">
      <c r="A58"/>
      <c r="B58"/>
      <c r="C58"/>
      <c r="D58" s="19"/>
      <c r="E58" s="19"/>
      <c r="N58" s="16"/>
      <c r="P58" s="17"/>
      <c r="Q58"/>
      <c r="R58"/>
    </row>
    <row r="59" spans="1:18" x14ac:dyDescent="0.2">
      <c r="A59"/>
      <c r="B59"/>
      <c r="C59"/>
      <c r="D59" s="19"/>
      <c r="E59" s="19"/>
      <c r="N59" s="16"/>
      <c r="P59" s="17"/>
      <c r="Q59"/>
      <c r="R59"/>
    </row>
    <row r="60" spans="1:18" x14ac:dyDescent="0.2">
      <c r="A60"/>
      <c r="B60"/>
      <c r="C60"/>
      <c r="D60" s="19"/>
      <c r="E60" s="19"/>
      <c r="J60" s="30"/>
      <c r="K60" s="30"/>
      <c r="L60" s="30"/>
      <c r="M60" s="30"/>
      <c r="N60" s="16"/>
      <c r="P60" s="17"/>
      <c r="Q60"/>
      <c r="R60"/>
    </row>
    <row r="61" spans="1:18" x14ac:dyDescent="0.2">
      <c r="A61" s="17"/>
      <c r="B61"/>
      <c r="C61"/>
      <c r="D61" s="19"/>
      <c r="E61" s="19"/>
      <c r="N61" s="16"/>
      <c r="P61" s="17"/>
      <c r="Q61"/>
      <c r="R61"/>
    </row>
    <row r="62" spans="1:18" x14ac:dyDescent="0.2">
      <c r="A62" s="17"/>
      <c r="B62"/>
      <c r="C62"/>
      <c r="D62" s="19"/>
      <c r="E62" s="19"/>
      <c r="N62" s="16"/>
      <c r="P62" s="17"/>
      <c r="Q62"/>
      <c r="R62"/>
    </row>
    <row r="63" spans="1:18" x14ac:dyDescent="0.2">
      <c r="A63" s="17"/>
      <c r="B63"/>
      <c r="C63"/>
      <c r="D63" s="19"/>
      <c r="E63" s="19"/>
      <c r="N63" s="16"/>
      <c r="P63" s="17"/>
      <c r="Q63"/>
      <c r="R63"/>
    </row>
    <row r="64" spans="1:18" x14ac:dyDescent="0.2">
      <c r="A64" s="17"/>
      <c r="B64"/>
      <c r="C64"/>
      <c r="D64" s="19"/>
      <c r="E64" s="19"/>
      <c r="F64" s="19"/>
      <c r="G64" s="19"/>
      <c r="H64" s="30"/>
      <c r="I64" s="30"/>
      <c r="J64" s="30"/>
      <c r="P64" s="17"/>
      <c r="Q64"/>
      <c r="R64"/>
    </row>
    <row r="65" spans="1:18" ht="16" customHeight="1" x14ac:dyDescent="0.2">
      <c r="A65" s="17"/>
      <c r="B65"/>
      <c r="C65"/>
      <c r="D65" s="19"/>
      <c r="E65" s="19"/>
      <c r="F65" s="19"/>
      <c r="G65" s="19"/>
      <c r="P65" s="17"/>
      <c r="Q65"/>
      <c r="R65"/>
    </row>
    <row r="66" spans="1:18" x14ac:dyDescent="0.2">
      <c r="A66" s="17"/>
      <c r="B66"/>
      <c r="C66"/>
      <c r="D66" s="19"/>
      <c r="E66" s="19"/>
      <c r="P66" s="17"/>
      <c r="Q66"/>
      <c r="R66"/>
    </row>
    <row r="67" spans="1:18" x14ac:dyDescent="0.2">
      <c r="A67" s="17"/>
      <c r="B67"/>
      <c r="C67"/>
      <c r="D67" s="19"/>
      <c r="E67" s="19"/>
      <c r="P67" s="17"/>
      <c r="Q67"/>
      <c r="R67"/>
    </row>
    <row r="68" spans="1:18" x14ac:dyDescent="0.2">
      <c r="A68" s="17"/>
      <c r="B68"/>
      <c r="C68"/>
      <c r="D68" s="19"/>
      <c r="E68" s="19"/>
      <c r="P68" s="17"/>
      <c r="Q68"/>
      <c r="R68"/>
    </row>
    <row r="69" spans="1:18" x14ac:dyDescent="0.2">
      <c r="A69" s="17"/>
      <c r="B69"/>
      <c r="C69"/>
      <c r="D69" s="19"/>
      <c r="E69" s="19"/>
      <c r="P69" s="17"/>
      <c r="Q69"/>
      <c r="R69"/>
    </row>
    <row r="70" spans="1:18" x14ac:dyDescent="0.2">
      <c r="A70" s="17"/>
      <c r="B70"/>
      <c r="C70"/>
      <c r="D70" s="19"/>
      <c r="E70" s="19"/>
      <c r="F70" s="19"/>
      <c r="G70" s="19"/>
      <c r="P70" s="17"/>
      <c r="Q70"/>
      <c r="R70"/>
    </row>
    <row r="71" spans="1:18" x14ac:dyDescent="0.2">
      <c r="A71" s="17"/>
      <c r="B71"/>
      <c r="C71"/>
      <c r="D71" s="19"/>
      <c r="E71" s="19"/>
      <c r="P71" s="17"/>
      <c r="Q71"/>
      <c r="R71"/>
    </row>
    <row r="72" spans="1:18" x14ac:dyDescent="0.2">
      <c r="A72" s="17"/>
      <c r="B72"/>
      <c r="C72"/>
      <c r="D72" s="19"/>
      <c r="E72" s="19"/>
      <c r="P72" s="17"/>
      <c r="Q72"/>
      <c r="R72"/>
    </row>
    <row r="73" spans="1:18" x14ac:dyDescent="0.2">
      <c r="A73" s="17"/>
      <c r="B73"/>
      <c r="C73"/>
      <c r="D73" s="19"/>
      <c r="E73" s="19"/>
      <c r="P73" s="17"/>
      <c r="Q73"/>
      <c r="R73"/>
    </row>
    <row r="74" spans="1:18" x14ac:dyDescent="0.2">
      <c r="A74" s="17"/>
      <c r="B74"/>
      <c r="C74"/>
      <c r="D74" s="19"/>
      <c r="E74" s="19"/>
      <c r="P74" s="17"/>
      <c r="Q74"/>
      <c r="R74"/>
    </row>
    <row r="75" spans="1:18" x14ac:dyDescent="0.2">
      <c r="A75" s="17"/>
      <c r="B75"/>
      <c r="C75"/>
      <c r="D75" s="19"/>
      <c r="E75" s="19"/>
      <c r="P75" s="17"/>
      <c r="Q75"/>
      <c r="R75"/>
    </row>
    <row r="76" spans="1:18" x14ac:dyDescent="0.2">
      <c r="A76" s="17"/>
      <c r="B76"/>
      <c r="C76"/>
      <c r="D76" s="19"/>
      <c r="E76" s="19"/>
      <c r="P76" s="17"/>
      <c r="Q76"/>
      <c r="R76"/>
    </row>
    <row r="77" spans="1:18" x14ac:dyDescent="0.2">
      <c r="A77" s="17"/>
      <c r="B77"/>
      <c r="C77"/>
      <c r="D77" s="19"/>
      <c r="P77" s="17"/>
      <c r="Q77"/>
      <c r="R77"/>
    </row>
    <row r="78" spans="1:18" x14ac:dyDescent="0.2">
      <c r="A78" s="17"/>
      <c r="B78"/>
      <c r="C78"/>
      <c r="D78" s="19"/>
      <c r="P78" s="17"/>
      <c r="Q78"/>
      <c r="R78"/>
    </row>
    <row r="79" spans="1:18" x14ac:dyDescent="0.2">
      <c r="A79" s="17"/>
      <c r="B79"/>
      <c r="C79"/>
      <c r="D79" s="19"/>
      <c r="P79" s="17"/>
      <c r="Q79"/>
      <c r="R79"/>
    </row>
    <row r="80" spans="1:18" x14ac:dyDescent="0.2">
      <c r="A80" s="17"/>
      <c r="B80"/>
      <c r="C80"/>
      <c r="D80" s="19"/>
      <c r="P80" s="17"/>
      <c r="Q80"/>
      <c r="R80"/>
    </row>
    <row r="81" spans="1:18" x14ac:dyDescent="0.2">
      <c r="A81" s="17"/>
      <c r="B81"/>
      <c r="C81"/>
      <c r="D81" s="19"/>
      <c r="P81" s="17"/>
      <c r="Q81"/>
      <c r="R81"/>
    </row>
    <row r="82" spans="1:18" x14ac:dyDescent="0.2">
      <c r="A82" s="17"/>
      <c r="B82"/>
      <c r="C82"/>
      <c r="D82" s="19"/>
      <c r="P82" s="17"/>
      <c r="Q82"/>
      <c r="R82"/>
    </row>
    <row r="83" spans="1:18" x14ac:dyDescent="0.2">
      <c r="A83" s="17"/>
      <c r="B83"/>
      <c r="C83"/>
      <c r="D83" s="19"/>
      <c r="P83" s="17"/>
      <c r="Q83"/>
      <c r="R83"/>
    </row>
    <row r="84" spans="1:18" x14ac:dyDescent="0.2">
      <c r="A84" s="17"/>
      <c r="B84"/>
      <c r="C84"/>
      <c r="D84" s="19"/>
      <c r="P84" s="17"/>
      <c r="Q84"/>
      <c r="R84"/>
    </row>
    <row r="85" spans="1:18" x14ac:dyDescent="0.2">
      <c r="A85" s="17"/>
      <c r="B85"/>
      <c r="C85"/>
      <c r="D85" s="19"/>
      <c r="P85" s="17"/>
      <c r="Q85"/>
      <c r="R85"/>
    </row>
    <row r="86" spans="1:18" x14ac:dyDescent="0.2">
      <c r="A86" s="17"/>
      <c r="B86"/>
      <c r="C86"/>
      <c r="D86" s="19"/>
      <c r="P86" s="17"/>
      <c r="Q86"/>
      <c r="R86"/>
    </row>
    <row r="87" spans="1:18" x14ac:dyDescent="0.2">
      <c r="A87" s="17"/>
      <c r="B87"/>
      <c r="C87"/>
      <c r="D87" s="19"/>
      <c r="P87" s="17"/>
      <c r="Q87"/>
      <c r="R87"/>
    </row>
    <row r="88" spans="1:18" x14ac:dyDescent="0.2">
      <c r="A88" s="17"/>
      <c r="B88"/>
      <c r="C88"/>
      <c r="D88" s="19"/>
      <c r="P88" s="17"/>
      <c r="Q88"/>
      <c r="R88"/>
    </row>
    <row r="89" spans="1:18" x14ac:dyDescent="0.2">
      <c r="A89" s="17"/>
      <c r="B89"/>
      <c r="C89"/>
      <c r="D89" s="19"/>
      <c r="P89" s="17"/>
      <c r="Q89"/>
      <c r="R89"/>
    </row>
    <row r="90" spans="1:18" x14ac:dyDescent="0.2">
      <c r="A90" s="17"/>
      <c r="B90"/>
      <c r="C90"/>
      <c r="D90" s="19"/>
      <c r="P90" s="17"/>
      <c r="Q90"/>
      <c r="R90"/>
    </row>
    <row r="91" spans="1:18" x14ac:dyDescent="0.2">
      <c r="A91" s="17"/>
      <c r="B91"/>
      <c r="C91"/>
      <c r="D91" s="19"/>
      <c r="P91" s="17"/>
      <c r="Q91"/>
      <c r="R91"/>
    </row>
    <row r="92" spans="1:18" x14ac:dyDescent="0.2">
      <c r="A92" s="17"/>
      <c r="B92"/>
      <c r="C92"/>
      <c r="D92" s="19"/>
      <c r="P92" s="17"/>
      <c r="Q92"/>
      <c r="R92"/>
    </row>
    <row r="93" spans="1:18" x14ac:dyDescent="0.2">
      <c r="A93" s="17"/>
      <c r="B93"/>
      <c r="C93"/>
      <c r="D93" s="19"/>
      <c r="P93" s="17"/>
      <c r="Q93"/>
      <c r="R93"/>
    </row>
    <row r="94" spans="1:18" x14ac:dyDescent="0.2">
      <c r="A94" s="17"/>
      <c r="B94"/>
      <c r="C94"/>
      <c r="D94" s="19"/>
      <c r="P94" s="17"/>
      <c r="Q94"/>
      <c r="R94"/>
    </row>
    <row r="95" spans="1:18" x14ac:dyDescent="0.2">
      <c r="A95" s="17"/>
      <c r="B95"/>
      <c r="C95"/>
      <c r="D95" s="19"/>
      <c r="P95" s="17"/>
      <c r="Q95"/>
      <c r="R95"/>
    </row>
    <row r="96" spans="1:18" x14ac:dyDescent="0.2">
      <c r="A96" s="17"/>
      <c r="B96"/>
      <c r="C96"/>
      <c r="D96" s="19"/>
      <c r="P96" s="17"/>
      <c r="Q96"/>
      <c r="R96"/>
    </row>
    <row r="97" spans="1:18" x14ac:dyDescent="0.2">
      <c r="A97" s="17"/>
      <c r="B97"/>
      <c r="C97"/>
      <c r="D97" s="19"/>
      <c r="P97" s="17"/>
      <c r="Q97"/>
      <c r="R97"/>
    </row>
    <row r="98" spans="1:18" x14ac:dyDescent="0.2">
      <c r="A98" s="17"/>
      <c r="B98"/>
      <c r="C98"/>
      <c r="D98" s="19"/>
      <c r="P98" s="17"/>
      <c r="Q98"/>
      <c r="R98"/>
    </row>
    <row r="99" spans="1:18" x14ac:dyDescent="0.2">
      <c r="A99" s="17"/>
      <c r="B99"/>
      <c r="C99"/>
      <c r="D99" s="19"/>
      <c r="P99" s="17"/>
      <c r="Q99"/>
      <c r="R99"/>
    </row>
    <row r="100" spans="1:18" x14ac:dyDescent="0.2">
      <c r="A100" s="17"/>
      <c r="B100"/>
      <c r="C100"/>
      <c r="D100" s="19"/>
      <c r="P100" s="17"/>
      <c r="Q100"/>
      <c r="R100"/>
    </row>
    <row r="101" spans="1:18" x14ac:dyDescent="0.2">
      <c r="A101" s="17"/>
      <c r="B101"/>
      <c r="C101"/>
      <c r="D101" s="19"/>
      <c r="P101" s="17"/>
      <c r="Q101"/>
      <c r="R101"/>
    </row>
    <row r="102" spans="1:18" x14ac:dyDescent="0.2">
      <c r="A102" s="17"/>
      <c r="B102"/>
      <c r="C102"/>
      <c r="D102" s="19"/>
      <c r="P102" s="17"/>
      <c r="Q102"/>
      <c r="R102"/>
    </row>
    <row r="103" spans="1:18" x14ac:dyDescent="0.2">
      <c r="A103" s="17"/>
      <c r="B103"/>
      <c r="C103"/>
      <c r="D103" s="19"/>
      <c r="P103" s="17"/>
      <c r="Q103"/>
      <c r="R103"/>
    </row>
    <row r="104" spans="1:18" x14ac:dyDescent="0.2">
      <c r="A104" s="17"/>
      <c r="B104"/>
      <c r="C104"/>
      <c r="D104" s="19"/>
      <c r="P104" s="17"/>
      <c r="Q104"/>
      <c r="R104"/>
    </row>
    <row r="105" spans="1:18" x14ac:dyDescent="0.2">
      <c r="A105" s="17"/>
      <c r="B105"/>
      <c r="C105"/>
      <c r="D105" s="19"/>
      <c r="P105" s="17"/>
      <c r="Q105"/>
      <c r="R105"/>
    </row>
    <row r="106" spans="1:18" x14ac:dyDescent="0.2">
      <c r="A106" s="17"/>
      <c r="B106"/>
      <c r="C106"/>
      <c r="D106" s="19"/>
      <c r="P106" s="17"/>
      <c r="Q106"/>
      <c r="R106"/>
    </row>
    <row r="107" spans="1:18" x14ac:dyDescent="0.2">
      <c r="A107" s="17"/>
      <c r="B107"/>
      <c r="C107"/>
      <c r="D107" s="19"/>
      <c r="P107" s="17"/>
      <c r="Q107"/>
      <c r="R107"/>
    </row>
    <row r="108" spans="1:18" x14ac:dyDescent="0.2">
      <c r="A108" s="17"/>
      <c r="B108"/>
      <c r="C108"/>
      <c r="D108" s="19"/>
      <c r="P108" s="17"/>
      <c r="Q108"/>
      <c r="R108"/>
    </row>
    <row r="109" spans="1:18" x14ac:dyDescent="0.2">
      <c r="A109" s="17"/>
      <c r="B109"/>
      <c r="C109"/>
      <c r="D109" s="19"/>
      <c r="P109" s="17"/>
      <c r="Q109"/>
      <c r="R109"/>
    </row>
    <row r="110" spans="1:18" x14ac:dyDescent="0.2">
      <c r="A110" s="17"/>
      <c r="B110"/>
      <c r="C110"/>
      <c r="D110" s="19"/>
      <c r="P110" s="17"/>
      <c r="Q110"/>
      <c r="R110"/>
    </row>
    <row r="111" spans="1:18" x14ac:dyDescent="0.2">
      <c r="A111" s="17"/>
      <c r="B111"/>
      <c r="C111"/>
      <c r="D111" s="19"/>
      <c r="P111" s="17"/>
      <c r="Q111"/>
      <c r="R111"/>
    </row>
    <row r="112" spans="1:18" x14ac:dyDescent="0.2">
      <c r="A112" s="17"/>
      <c r="B112"/>
      <c r="C112"/>
      <c r="D112" s="19"/>
      <c r="P112" s="17"/>
      <c r="Q112"/>
      <c r="R112"/>
    </row>
    <row r="113" spans="1:18" x14ac:dyDescent="0.2">
      <c r="A113" s="17"/>
      <c r="B113"/>
      <c r="C113"/>
      <c r="D113" s="19"/>
      <c r="P113" s="17"/>
      <c r="Q113"/>
      <c r="R113"/>
    </row>
    <row r="114" spans="1:18" x14ac:dyDescent="0.2">
      <c r="A114" s="17"/>
      <c r="B114"/>
      <c r="C114"/>
      <c r="D114" s="19"/>
      <c r="P114" s="17"/>
      <c r="Q114"/>
      <c r="R114"/>
    </row>
    <row r="115" spans="1:18" x14ac:dyDescent="0.2">
      <c r="A115" s="17"/>
      <c r="B115"/>
      <c r="C115"/>
      <c r="D115" s="19"/>
      <c r="P115" s="17"/>
      <c r="Q115"/>
      <c r="R115"/>
    </row>
    <row r="116" spans="1:18" x14ac:dyDescent="0.2">
      <c r="A116" s="17"/>
      <c r="B116"/>
      <c r="C116"/>
      <c r="D116" s="19"/>
      <c r="P116" s="17"/>
      <c r="Q116"/>
      <c r="R116"/>
    </row>
    <row r="117" spans="1:18" x14ac:dyDescent="0.2">
      <c r="A117" s="17"/>
      <c r="B117"/>
      <c r="C117"/>
      <c r="D117" s="19"/>
      <c r="P117" s="17"/>
      <c r="Q117"/>
      <c r="R117"/>
    </row>
    <row r="118" spans="1:18" x14ac:dyDescent="0.2">
      <c r="A118" s="17"/>
      <c r="B118"/>
      <c r="C118"/>
      <c r="D118" s="19"/>
      <c r="P118" s="17"/>
      <c r="Q118"/>
      <c r="R118"/>
    </row>
    <row r="119" spans="1:18" x14ac:dyDescent="0.2">
      <c r="A119" s="17"/>
      <c r="B119"/>
      <c r="C119"/>
      <c r="D119" s="19"/>
      <c r="P119" s="17"/>
      <c r="Q119"/>
      <c r="R119"/>
    </row>
    <row r="120" spans="1:18" x14ac:dyDescent="0.2">
      <c r="A120" s="17"/>
      <c r="B120"/>
      <c r="C120"/>
      <c r="D120" s="19"/>
      <c r="P120" s="17"/>
      <c r="Q120"/>
      <c r="R120"/>
    </row>
    <row r="121" spans="1:18" x14ac:dyDescent="0.2">
      <c r="A121" s="17"/>
      <c r="B121"/>
      <c r="C121"/>
      <c r="D121" s="19"/>
      <c r="P121" s="17"/>
      <c r="Q121"/>
      <c r="R121"/>
    </row>
    <row r="122" spans="1:18" x14ac:dyDescent="0.2">
      <c r="A122" s="17"/>
      <c r="B122"/>
      <c r="C122"/>
      <c r="D122" s="19"/>
      <c r="P122" s="17"/>
      <c r="Q122"/>
      <c r="R122"/>
    </row>
    <row r="123" spans="1:18" x14ac:dyDescent="0.2">
      <c r="A123" s="17"/>
      <c r="B123"/>
      <c r="C123"/>
      <c r="D123" s="19"/>
      <c r="P123" s="17"/>
      <c r="Q123"/>
      <c r="R123"/>
    </row>
    <row r="124" spans="1:18" x14ac:dyDescent="0.2">
      <c r="A124" s="17"/>
      <c r="B124"/>
      <c r="C124"/>
      <c r="D124" s="19"/>
      <c r="P124" s="17"/>
      <c r="Q124"/>
      <c r="R124"/>
    </row>
    <row r="125" spans="1:18" x14ac:dyDescent="0.2">
      <c r="A125" s="17"/>
      <c r="B125"/>
      <c r="C125"/>
      <c r="D125" s="19"/>
      <c r="P125" s="17"/>
      <c r="Q125"/>
      <c r="R125"/>
    </row>
    <row r="126" spans="1:18" x14ac:dyDescent="0.2">
      <c r="A126" s="17"/>
      <c r="B126"/>
      <c r="C126"/>
      <c r="D126" s="19"/>
      <c r="P126" s="17"/>
      <c r="Q126"/>
      <c r="R126"/>
    </row>
    <row r="127" spans="1:18" x14ac:dyDescent="0.2">
      <c r="A127" s="17"/>
      <c r="B127"/>
      <c r="C127"/>
      <c r="D127" s="19"/>
      <c r="P127" s="17"/>
      <c r="Q127"/>
      <c r="R127"/>
    </row>
    <row r="128" spans="1:18" x14ac:dyDescent="0.2">
      <c r="A128" s="17"/>
      <c r="B128"/>
      <c r="C128"/>
      <c r="D128" s="19"/>
      <c r="P128" s="17"/>
      <c r="Q128"/>
      <c r="R128"/>
    </row>
    <row r="129" spans="1:18" x14ac:dyDescent="0.2">
      <c r="A129" s="17"/>
      <c r="B129"/>
      <c r="C129"/>
      <c r="D129" s="19"/>
      <c r="P129" s="17"/>
      <c r="Q129"/>
      <c r="R129"/>
    </row>
    <row r="130" spans="1:18" x14ac:dyDescent="0.2">
      <c r="A130" s="17"/>
      <c r="B130"/>
      <c r="C130"/>
      <c r="D130" s="19"/>
      <c r="P130" s="17"/>
      <c r="Q130"/>
      <c r="R130"/>
    </row>
    <row r="131" spans="1:18" x14ac:dyDescent="0.2">
      <c r="A131" s="17"/>
      <c r="B131"/>
      <c r="C131"/>
      <c r="D131" s="19"/>
      <c r="P131" s="17"/>
      <c r="Q131"/>
      <c r="R131"/>
    </row>
    <row r="132" spans="1:18" x14ac:dyDescent="0.2">
      <c r="A132" s="17"/>
      <c r="B132"/>
      <c r="C132"/>
      <c r="D132" s="19"/>
      <c r="P132" s="17"/>
      <c r="Q132"/>
      <c r="R132"/>
    </row>
    <row r="133" spans="1:18" x14ac:dyDescent="0.2">
      <c r="A133" s="17"/>
      <c r="B133"/>
      <c r="C133"/>
      <c r="D133" s="19"/>
    </row>
    <row r="134" spans="1:18" x14ac:dyDescent="0.2">
      <c r="A134" s="17"/>
      <c r="B134"/>
      <c r="C134"/>
      <c r="D134" s="19"/>
    </row>
    <row r="135" spans="1:18" x14ac:dyDescent="0.2">
      <c r="A135" s="17"/>
      <c r="B135"/>
      <c r="C135"/>
      <c r="D135" s="19"/>
    </row>
    <row r="136" spans="1:18" x14ac:dyDescent="0.2">
      <c r="A136" s="17"/>
      <c r="B136"/>
      <c r="C136"/>
      <c r="D136" s="19"/>
    </row>
    <row r="137" spans="1:18" x14ac:dyDescent="0.2">
      <c r="A137" s="17"/>
      <c r="B137"/>
      <c r="C137"/>
      <c r="D137" s="19"/>
    </row>
    <row r="138" spans="1:18" x14ac:dyDescent="0.2">
      <c r="A138" s="17"/>
      <c r="B138"/>
      <c r="C138"/>
      <c r="D138" s="19"/>
    </row>
    <row r="139" spans="1:18" x14ac:dyDescent="0.2">
      <c r="A139" s="17"/>
      <c r="B139"/>
      <c r="C139"/>
      <c r="D139" s="19"/>
    </row>
    <row r="140" spans="1:18" x14ac:dyDescent="0.2">
      <c r="A140" s="17"/>
      <c r="B140"/>
      <c r="C140"/>
      <c r="D140" s="19"/>
    </row>
    <row r="141" spans="1:18" x14ac:dyDescent="0.2">
      <c r="A141" s="17"/>
      <c r="B141"/>
      <c r="C141"/>
      <c r="D141" s="19"/>
    </row>
    <row r="142" spans="1:18" x14ac:dyDescent="0.2">
      <c r="A142" s="17"/>
      <c r="B142"/>
      <c r="C142"/>
      <c r="D142" s="19"/>
    </row>
    <row r="143" spans="1:18" x14ac:dyDescent="0.2">
      <c r="A143" s="17"/>
      <c r="B143"/>
      <c r="C143"/>
      <c r="D143" s="19"/>
    </row>
    <row r="144" spans="1:18" x14ac:dyDescent="0.2">
      <c r="A144" s="17"/>
      <c r="B144"/>
      <c r="C144"/>
      <c r="D144" s="19"/>
    </row>
    <row r="145" spans="1:4" x14ac:dyDescent="0.2">
      <c r="A145" s="17"/>
      <c r="B145"/>
      <c r="C145"/>
      <c r="D145" s="19"/>
    </row>
    <row r="146" spans="1:4" x14ac:dyDescent="0.2">
      <c r="A146" s="17"/>
      <c r="B146"/>
      <c r="C146"/>
      <c r="D146" s="19"/>
    </row>
    <row r="147" spans="1:4" x14ac:dyDescent="0.2">
      <c r="A147" s="17"/>
      <c r="B147"/>
      <c r="C147"/>
      <c r="D147" s="19"/>
    </row>
    <row r="148" spans="1:4" x14ac:dyDescent="0.2">
      <c r="A148" s="17"/>
      <c r="B148"/>
      <c r="C148"/>
      <c r="D148" s="19"/>
    </row>
    <row r="149" spans="1:4" x14ac:dyDescent="0.2">
      <c r="A149" s="17"/>
      <c r="B149"/>
      <c r="C149"/>
      <c r="D149" s="19"/>
    </row>
    <row r="150" spans="1:4" x14ac:dyDescent="0.2">
      <c r="A150" s="17"/>
      <c r="B150"/>
      <c r="C150"/>
      <c r="D150" s="19"/>
    </row>
    <row r="151" spans="1:4" x14ac:dyDescent="0.2">
      <c r="A151" s="17"/>
      <c r="B151"/>
      <c r="C151"/>
      <c r="D151" s="19"/>
    </row>
    <row r="152" spans="1:4" x14ac:dyDescent="0.2">
      <c r="A152" s="17"/>
      <c r="B152"/>
      <c r="C152"/>
      <c r="D152" s="19"/>
    </row>
    <row r="153" spans="1:4" x14ac:dyDescent="0.2">
      <c r="A153" s="17"/>
      <c r="B153"/>
      <c r="C153"/>
      <c r="D153" s="19"/>
    </row>
    <row r="154" spans="1:4" x14ac:dyDescent="0.2">
      <c r="A154" s="17"/>
      <c r="B154"/>
      <c r="C154"/>
      <c r="D154" s="19"/>
    </row>
    <row r="155" spans="1:4" x14ac:dyDescent="0.2">
      <c r="A155" s="17"/>
      <c r="B155"/>
      <c r="C155"/>
      <c r="D155" s="19"/>
    </row>
    <row r="156" spans="1:4" x14ac:dyDescent="0.2">
      <c r="A156" s="17"/>
      <c r="B156"/>
      <c r="C156"/>
      <c r="D156" s="19"/>
    </row>
    <row r="157" spans="1:4" x14ac:dyDescent="0.2">
      <c r="A157" s="17"/>
      <c r="B157"/>
      <c r="C157"/>
      <c r="D157" s="19"/>
    </row>
    <row r="158" spans="1:4" x14ac:dyDescent="0.2">
      <c r="A158" s="17"/>
      <c r="B158"/>
      <c r="C158"/>
      <c r="D158" s="19"/>
    </row>
    <row r="159" spans="1:4" x14ac:dyDescent="0.2">
      <c r="A159" s="17"/>
      <c r="B159"/>
      <c r="C159"/>
      <c r="D159" s="19"/>
    </row>
    <row r="160" spans="1:4" x14ac:dyDescent="0.2">
      <c r="A160" s="17"/>
      <c r="B160"/>
      <c r="C160"/>
      <c r="D160" s="19"/>
    </row>
    <row r="161" spans="1:4" x14ac:dyDescent="0.2">
      <c r="A161"/>
      <c r="B161"/>
      <c r="C161"/>
      <c r="D161" s="19"/>
    </row>
    <row r="162" spans="1:4" x14ac:dyDescent="0.2">
      <c r="A162"/>
      <c r="D162" s="19"/>
    </row>
    <row r="163" spans="1:4" x14ac:dyDescent="0.2">
      <c r="A163"/>
      <c r="D163" s="19"/>
    </row>
    <row r="164" spans="1:4" x14ac:dyDescent="0.2">
      <c r="A164"/>
      <c r="D164" s="19"/>
    </row>
    <row r="165" spans="1:4" x14ac:dyDescent="0.2">
      <c r="A165"/>
      <c r="D165" s="19"/>
    </row>
    <row r="166" spans="1:4" x14ac:dyDescent="0.2">
      <c r="A166"/>
      <c r="D166" s="19"/>
    </row>
    <row r="167" spans="1:4" x14ac:dyDescent="0.2">
      <c r="A167"/>
      <c r="D167" s="19"/>
    </row>
    <row r="168" spans="1:4" x14ac:dyDescent="0.2">
      <c r="A168"/>
      <c r="D168" s="19"/>
    </row>
    <row r="169" spans="1:4" x14ac:dyDescent="0.2">
      <c r="A169"/>
      <c r="D169" s="19"/>
    </row>
    <row r="170" spans="1:4" x14ac:dyDescent="0.2">
      <c r="A170"/>
      <c r="D170" s="19"/>
    </row>
    <row r="171" spans="1:4" x14ac:dyDescent="0.2">
      <c r="A171"/>
      <c r="D171" s="19"/>
    </row>
    <row r="172" spans="1:4" x14ac:dyDescent="0.2">
      <c r="A172"/>
      <c r="D172" s="19"/>
    </row>
    <row r="173" spans="1:4" x14ac:dyDescent="0.2">
      <c r="A173"/>
      <c r="D173" s="19"/>
    </row>
    <row r="174" spans="1:4" x14ac:dyDescent="0.2">
      <c r="A174"/>
      <c r="D174" s="19"/>
    </row>
    <row r="175" spans="1:4" x14ac:dyDescent="0.2">
      <c r="A175"/>
      <c r="D175" s="19"/>
    </row>
    <row r="176" spans="1:4" x14ac:dyDescent="0.2">
      <c r="A176"/>
      <c r="D176" s="19"/>
    </row>
    <row r="177" spans="1:4" x14ac:dyDescent="0.2">
      <c r="A177"/>
      <c r="D177" s="19"/>
    </row>
    <row r="178" spans="1:4" x14ac:dyDescent="0.2">
      <c r="A178"/>
      <c r="D178" s="19"/>
    </row>
    <row r="179" spans="1:4" x14ac:dyDescent="0.2">
      <c r="A179"/>
      <c r="D179" s="19"/>
    </row>
    <row r="180" spans="1:4" x14ac:dyDescent="0.2">
      <c r="A180"/>
      <c r="D180" s="19"/>
    </row>
    <row r="181" spans="1:4" x14ac:dyDescent="0.2">
      <c r="A181"/>
      <c r="D181" s="19"/>
    </row>
    <row r="182" spans="1:4" x14ac:dyDescent="0.2">
      <c r="A182"/>
      <c r="D182" s="19"/>
    </row>
    <row r="183" spans="1:4" x14ac:dyDescent="0.2">
      <c r="A183"/>
      <c r="D183" s="19"/>
    </row>
    <row r="184" spans="1:4" x14ac:dyDescent="0.2">
      <c r="A184"/>
      <c r="D184" s="19"/>
    </row>
    <row r="185" spans="1:4" x14ac:dyDescent="0.2">
      <c r="A185"/>
      <c r="D185" s="19"/>
    </row>
    <row r="186" spans="1:4" x14ac:dyDescent="0.2">
      <c r="A186"/>
      <c r="D186" s="19"/>
    </row>
    <row r="187" spans="1:4" x14ac:dyDescent="0.2">
      <c r="A187"/>
      <c r="D187" s="19"/>
    </row>
    <row r="188" spans="1:4" x14ac:dyDescent="0.2">
      <c r="A188"/>
      <c r="D188" s="19"/>
    </row>
    <row r="189" spans="1:4" x14ac:dyDescent="0.2">
      <c r="A189"/>
      <c r="D189" s="19"/>
    </row>
    <row r="190" spans="1:4" x14ac:dyDescent="0.2">
      <c r="A190"/>
      <c r="D190" s="19"/>
    </row>
    <row r="191" spans="1:4" x14ac:dyDescent="0.2">
      <c r="A191"/>
      <c r="D191" s="19"/>
    </row>
    <row r="192" spans="1:4" x14ac:dyDescent="0.2">
      <c r="A192"/>
      <c r="D192" s="19"/>
    </row>
    <row r="193" spans="1:4" x14ac:dyDescent="0.2">
      <c r="A193"/>
      <c r="D193" s="19"/>
    </row>
    <row r="194" spans="1:4" x14ac:dyDescent="0.2">
      <c r="A194"/>
      <c r="D194" s="19"/>
    </row>
    <row r="195" spans="1:4" x14ac:dyDescent="0.2">
      <c r="A195"/>
      <c r="D195" s="19"/>
    </row>
    <row r="196" spans="1:4" x14ac:dyDescent="0.2">
      <c r="A196"/>
      <c r="D196" s="19"/>
    </row>
    <row r="197" spans="1:4" x14ac:dyDescent="0.2">
      <c r="A197"/>
      <c r="D197" s="19"/>
    </row>
    <row r="198" spans="1:4" x14ac:dyDescent="0.2">
      <c r="A198"/>
      <c r="D198" s="19"/>
    </row>
    <row r="199" spans="1:4" x14ac:dyDescent="0.2">
      <c r="A199"/>
      <c r="D199" s="19"/>
    </row>
    <row r="200" spans="1:4" x14ac:dyDescent="0.2">
      <c r="A200"/>
      <c r="D200" s="19"/>
    </row>
    <row r="201" spans="1:4" x14ac:dyDescent="0.2">
      <c r="A201"/>
      <c r="D201" s="19"/>
    </row>
    <row r="202" spans="1:4" x14ac:dyDescent="0.2">
      <c r="A202"/>
      <c r="D202" s="19"/>
    </row>
    <row r="203" spans="1:4" x14ac:dyDescent="0.2">
      <c r="A203"/>
      <c r="D203" s="19"/>
    </row>
    <row r="204" spans="1:4" x14ac:dyDescent="0.2">
      <c r="A204"/>
      <c r="D204" s="19"/>
    </row>
    <row r="205" spans="1:4" x14ac:dyDescent="0.2">
      <c r="A205"/>
      <c r="D205" s="19"/>
    </row>
    <row r="206" spans="1:4" x14ac:dyDescent="0.2">
      <c r="A206"/>
      <c r="D206" s="19"/>
    </row>
    <row r="207" spans="1:4" x14ac:dyDescent="0.2">
      <c r="A207"/>
      <c r="D207" s="19"/>
    </row>
    <row r="208" spans="1:4" x14ac:dyDescent="0.2">
      <c r="A208"/>
      <c r="D208" s="19"/>
    </row>
    <row r="209" spans="1:4" x14ac:dyDescent="0.2">
      <c r="A209"/>
      <c r="D209" s="19"/>
    </row>
    <row r="210" spans="1:4" x14ac:dyDescent="0.2">
      <c r="A210"/>
      <c r="D210" s="19"/>
    </row>
    <row r="211" spans="1:4" x14ac:dyDescent="0.2">
      <c r="A211"/>
      <c r="D211" s="19"/>
    </row>
    <row r="212" spans="1:4" x14ac:dyDescent="0.2">
      <c r="A212"/>
      <c r="D212" s="19"/>
    </row>
    <row r="213" spans="1:4" x14ac:dyDescent="0.2">
      <c r="A213"/>
      <c r="D213" s="19"/>
    </row>
    <row r="214" spans="1:4" x14ac:dyDescent="0.2">
      <c r="A214"/>
      <c r="D214" s="19"/>
    </row>
    <row r="215" spans="1:4" x14ac:dyDescent="0.2">
      <c r="A215"/>
      <c r="D215" s="19"/>
    </row>
    <row r="216" spans="1:4" x14ac:dyDescent="0.2">
      <c r="A216"/>
      <c r="D216" s="19"/>
    </row>
    <row r="217" spans="1:4" x14ac:dyDescent="0.2">
      <c r="A217"/>
      <c r="D217" s="19"/>
    </row>
    <row r="218" spans="1:4" x14ac:dyDescent="0.2">
      <c r="A218"/>
      <c r="D218" s="19"/>
    </row>
    <row r="219" spans="1:4" x14ac:dyDescent="0.2">
      <c r="A219"/>
      <c r="D219" s="19"/>
    </row>
    <row r="220" spans="1:4" x14ac:dyDescent="0.2">
      <c r="A220"/>
      <c r="D220" s="19"/>
    </row>
    <row r="221" spans="1:4" x14ac:dyDescent="0.2">
      <c r="A221"/>
      <c r="D221" s="19"/>
    </row>
    <row r="222" spans="1:4" x14ac:dyDescent="0.2">
      <c r="A222"/>
      <c r="D222" s="19"/>
    </row>
    <row r="223" spans="1:4" x14ac:dyDescent="0.2">
      <c r="A223"/>
      <c r="D223" s="19"/>
    </row>
    <row r="224" spans="1:4" x14ac:dyDescent="0.2">
      <c r="A224"/>
      <c r="D224" s="19"/>
    </row>
    <row r="225" spans="1:4" x14ac:dyDescent="0.2">
      <c r="A225"/>
      <c r="D225" s="19"/>
    </row>
    <row r="226" spans="1:4" x14ac:dyDescent="0.2">
      <c r="A226"/>
      <c r="D226" s="19"/>
    </row>
    <row r="227" spans="1:4" x14ac:dyDescent="0.2">
      <c r="A227"/>
      <c r="D227" s="19"/>
    </row>
    <row r="228" spans="1:4" x14ac:dyDescent="0.2">
      <c r="A228"/>
      <c r="D228" s="19"/>
    </row>
    <row r="229" spans="1:4" x14ac:dyDescent="0.2">
      <c r="A229"/>
      <c r="D229" s="19"/>
    </row>
    <row r="230" spans="1:4" x14ac:dyDescent="0.2">
      <c r="A230"/>
      <c r="D230" s="19"/>
    </row>
    <row r="231" spans="1:4" x14ac:dyDescent="0.2">
      <c r="A231"/>
      <c r="D231" s="19"/>
    </row>
    <row r="232" spans="1:4" x14ac:dyDescent="0.2">
      <c r="A232"/>
      <c r="D232" s="19"/>
    </row>
    <row r="233" spans="1:4" x14ac:dyDescent="0.2">
      <c r="A233" s="19"/>
    </row>
    <row r="234" spans="1:4" x14ac:dyDescent="0.2">
      <c r="A234" s="19"/>
    </row>
    <row r="235" spans="1:4" x14ac:dyDescent="0.2">
      <c r="A235" s="19"/>
    </row>
    <row r="236" spans="1:4" x14ac:dyDescent="0.2">
      <c r="A236" s="19"/>
    </row>
    <row r="237" spans="1:4" x14ac:dyDescent="0.2">
      <c r="A237" s="19"/>
    </row>
    <row r="238" spans="1:4" x14ac:dyDescent="0.2">
      <c r="A238" s="19"/>
    </row>
    <row r="239" spans="1:4" x14ac:dyDescent="0.2">
      <c r="A239" s="19"/>
    </row>
    <row r="240" spans="1:4" x14ac:dyDescent="0.2">
      <c r="A240" s="19"/>
    </row>
    <row r="241" spans="1:1" x14ac:dyDescent="0.2">
      <c r="A241" s="19"/>
    </row>
    <row r="242" spans="1:1" x14ac:dyDescent="0.2">
      <c r="A242" s="19"/>
    </row>
    <row r="243" spans="1:1" x14ac:dyDescent="0.2">
      <c r="A243" s="19"/>
    </row>
    <row r="244" spans="1:1" x14ac:dyDescent="0.2">
      <c r="A244" s="19"/>
    </row>
    <row r="245" spans="1:1" x14ac:dyDescent="0.2">
      <c r="A245" s="19"/>
    </row>
    <row r="246" spans="1:1" x14ac:dyDescent="0.2">
      <c r="A246" s="19"/>
    </row>
    <row r="247" spans="1:1" x14ac:dyDescent="0.2">
      <c r="A247" s="19"/>
    </row>
    <row r="248" spans="1:1" x14ac:dyDescent="0.2">
      <c r="A248" s="19"/>
    </row>
    <row r="249" spans="1:1" x14ac:dyDescent="0.2">
      <c r="A249" s="19"/>
    </row>
  </sheetData>
  <sheetProtection formatCells="0" formatColumns="0" formatRows="0" insertColumns="0" insertRows="0"/>
  <sortState xmlns:xlrd2="http://schemas.microsoft.com/office/spreadsheetml/2017/richdata2" ref="A32:A147">
    <sortCondition ref="A32:A147"/>
  </sortState>
  <mergeCells count="4">
    <mergeCell ref="A30:C30"/>
    <mergeCell ref="M1:N1"/>
    <mergeCell ref="I1:J1"/>
    <mergeCell ref="E28:G28"/>
  </mergeCells>
  <pageMargins left="0.39370078740157483" right="0.19685039370078741" top="0.35433070866141736" bottom="0.19685039370078741" header="0.31496062992125984" footer="0.15748031496062992"/>
  <pageSetup paperSize="9" scale="90" orientation="landscape"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6033-054D-FC44-A084-7BECDAC9D18A}">
  <dimension ref="A11:G17"/>
  <sheetViews>
    <sheetView showGridLines="0" zoomScale="120" zoomScaleNormal="120" workbookViewId="0"/>
  </sheetViews>
  <sheetFormatPr baseColWidth="10" defaultColWidth="10.83203125" defaultRowHeight="16" x14ac:dyDescent="0.2"/>
  <cols>
    <col min="1" max="1" width="20.6640625" style="1" customWidth="1"/>
    <col min="2" max="16384" width="10.83203125" style="1"/>
  </cols>
  <sheetData>
    <row r="11" spans="1:7" ht="11" customHeight="1" x14ac:dyDescent="0.2"/>
    <row r="12" spans="1:7" s="2" customFormat="1" ht="24" x14ac:dyDescent="0.3">
      <c r="A12" s="27" t="s">
        <v>3</v>
      </c>
      <c r="B12" s="14"/>
      <c r="C12" s="14"/>
      <c r="D12" s="14"/>
      <c r="E12" s="14"/>
      <c r="F12" s="14"/>
      <c r="G12" s="14"/>
    </row>
    <row r="13" spans="1:7" s="2" customFormat="1" ht="5" customHeight="1" x14ac:dyDescent="0.3">
      <c r="A13" s="14"/>
      <c r="B13" s="14"/>
      <c r="C13" s="14"/>
      <c r="D13" s="14"/>
      <c r="E13" s="14"/>
      <c r="F13" s="14"/>
      <c r="G13" s="14"/>
    </row>
    <row r="14" spans="1:7" s="2" customFormat="1" ht="5" customHeight="1" x14ac:dyDescent="0.3">
      <c r="A14" s="14"/>
      <c r="B14" s="14"/>
      <c r="C14" s="14"/>
      <c r="D14" s="14"/>
      <c r="E14" s="14"/>
      <c r="F14" s="14"/>
      <c r="G14" s="14"/>
    </row>
    <row r="15" spans="1:7" s="2" customFormat="1" ht="24" x14ac:dyDescent="0.3">
      <c r="A15" s="14"/>
      <c r="B15" s="14"/>
      <c r="C15" s="14"/>
      <c r="D15" s="14"/>
      <c r="E15" s="14"/>
      <c r="F15" s="14"/>
      <c r="G15" s="14"/>
    </row>
    <row r="16" spans="1:7" s="2" customFormat="1" ht="5" customHeight="1" x14ac:dyDescent="0.3">
      <c r="A16" s="14"/>
      <c r="B16" s="14"/>
      <c r="C16" s="14"/>
      <c r="D16" s="14"/>
      <c r="E16" s="14"/>
      <c r="F16" s="14"/>
      <c r="G16" s="14"/>
    </row>
    <row r="17" spans="1:6" ht="33" customHeight="1" thickBot="1" x14ac:dyDescent="0.25">
      <c r="A17" s="26"/>
      <c r="B17" s="26"/>
      <c r="C17" s="26"/>
      <c r="D17" s="26"/>
      <c r="E17" s="26"/>
      <c r="F17" s="26"/>
    </row>
  </sheetData>
  <sheetProtection selectLockedCells="1" selectUnlockedCells="1"/>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6EB5-DE71-7B46-99A3-CFAC3F8D732A}">
  <dimension ref="A1:Z31"/>
  <sheetViews>
    <sheetView showGridLines="0" zoomScale="90" zoomScaleNormal="90" workbookViewId="0"/>
  </sheetViews>
  <sheetFormatPr baseColWidth="10" defaultColWidth="10.83203125" defaultRowHeight="16" x14ac:dyDescent="0.2"/>
  <cols>
    <col min="1" max="1" width="22.6640625" style="1" customWidth="1"/>
    <col min="2" max="2" width="18.6640625" style="1" customWidth="1"/>
    <col min="3" max="18" width="8.33203125" style="1" customWidth="1"/>
    <col min="19" max="20" width="10.83203125" style="1"/>
    <col min="21" max="21" width="2.6640625" style="1" customWidth="1"/>
    <col min="22" max="16384" width="10.83203125" style="1"/>
  </cols>
  <sheetData>
    <row r="1" spans="1:26" ht="72" customHeight="1" x14ac:dyDescent="0.2">
      <c r="O1" s="139" t="s">
        <v>134</v>
      </c>
      <c r="P1" s="139"/>
      <c r="Q1" s="31"/>
      <c r="R1" s="31"/>
      <c r="U1" s="115"/>
      <c r="V1" s="116"/>
      <c r="W1" s="114"/>
      <c r="X1" s="114"/>
      <c r="Z1" s="21"/>
    </row>
    <row r="2" spans="1:26" ht="40" customHeight="1" x14ac:dyDescent="0.2">
      <c r="A2" s="13"/>
      <c r="B2" s="13"/>
      <c r="C2" s="13"/>
      <c r="D2" s="13"/>
      <c r="E2" s="13"/>
      <c r="F2" s="13"/>
      <c r="G2" s="13"/>
      <c r="H2" s="13"/>
      <c r="I2" s="13"/>
      <c r="J2" s="13"/>
      <c r="K2" s="13"/>
      <c r="L2" s="13"/>
      <c r="M2" s="13"/>
      <c r="N2" s="13"/>
      <c r="O2" s="13"/>
      <c r="P2" s="13"/>
      <c r="Q2" s="13"/>
      <c r="R2" s="13"/>
      <c r="S2" s="14"/>
      <c r="T2" s="14"/>
      <c r="U2" s="14"/>
      <c r="V2" s="14"/>
      <c r="W2" s="14"/>
      <c r="X2" s="14"/>
      <c r="Y2" s="14"/>
      <c r="Z2" s="14"/>
    </row>
    <row r="3" spans="1:26" ht="16" customHeight="1" x14ac:dyDescent="0.2">
      <c r="G3" s="14"/>
      <c r="H3" s="14"/>
      <c r="I3" s="14"/>
      <c r="J3" s="14"/>
      <c r="K3" s="14"/>
      <c r="L3" s="14"/>
      <c r="M3" s="14"/>
      <c r="N3" s="14"/>
      <c r="O3" s="14"/>
      <c r="P3" s="14"/>
      <c r="Q3" s="14"/>
      <c r="R3" s="14"/>
      <c r="S3" s="14"/>
      <c r="T3" s="14"/>
      <c r="U3" s="14"/>
      <c r="V3" s="14"/>
      <c r="W3" s="14"/>
      <c r="X3" s="14"/>
      <c r="Y3" s="14"/>
      <c r="Z3" s="14"/>
    </row>
    <row r="4" spans="1:26" ht="16" customHeight="1" x14ac:dyDescent="0.2">
      <c r="A4" s="139" t="s">
        <v>93</v>
      </c>
      <c r="B4" s="139"/>
      <c r="C4" s="139"/>
      <c r="D4" s="139"/>
      <c r="E4" s="139"/>
      <c r="F4" s="139"/>
      <c r="G4" s="139"/>
      <c r="H4" s="139"/>
      <c r="I4" s="139"/>
      <c r="J4" s="139"/>
      <c r="K4" s="139"/>
      <c r="L4" s="139"/>
      <c r="M4" s="139"/>
      <c r="N4" s="139"/>
      <c r="O4" s="139"/>
      <c r="P4" s="139"/>
      <c r="Q4" s="139"/>
      <c r="R4" s="139"/>
      <c r="S4" s="32"/>
      <c r="T4" s="32"/>
      <c r="U4" s="32"/>
      <c r="V4" s="14"/>
      <c r="W4" s="14"/>
      <c r="X4" s="14"/>
      <c r="Y4" s="14"/>
      <c r="Z4" s="14"/>
    </row>
    <row r="5" spans="1:26" ht="16" customHeight="1" x14ac:dyDescent="0.2">
      <c r="A5" s="139"/>
      <c r="B5" s="139"/>
      <c r="C5" s="139"/>
      <c r="D5" s="139"/>
      <c r="E5" s="139"/>
      <c r="F5" s="139"/>
      <c r="G5" s="139"/>
      <c r="H5" s="139"/>
      <c r="I5" s="139"/>
      <c r="J5" s="139"/>
      <c r="K5" s="139"/>
      <c r="L5" s="139"/>
      <c r="M5" s="139"/>
      <c r="N5" s="139"/>
      <c r="O5" s="139"/>
      <c r="P5" s="139"/>
      <c r="Q5" s="139"/>
      <c r="R5" s="139"/>
      <c r="S5" s="32"/>
      <c r="T5" s="32"/>
      <c r="U5" s="32"/>
      <c r="V5" s="14"/>
      <c r="W5" s="14"/>
      <c r="X5" s="14"/>
      <c r="Y5" s="14"/>
      <c r="Z5" s="14"/>
    </row>
    <row r="6" spans="1:26" ht="16" customHeight="1" x14ac:dyDescent="0.2">
      <c r="A6" s="32"/>
      <c r="B6" s="32"/>
      <c r="C6" s="32"/>
      <c r="D6" s="32"/>
      <c r="E6" s="32"/>
      <c r="F6" s="32"/>
      <c r="G6" s="32"/>
      <c r="H6" s="32"/>
      <c r="I6" s="32"/>
      <c r="J6" s="32"/>
      <c r="K6" s="32"/>
      <c r="L6" s="32"/>
      <c r="M6" s="32"/>
      <c r="N6" s="32"/>
      <c r="O6" s="32"/>
      <c r="P6" s="32"/>
      <c r="Q6" s="32"/>
      <c r="R6" s="32"/>
      <c r="S6" s="32"/>
      <c r="T6" s="32"/>
      <c r="U6" s="32"/>
      <c r="V6" s="14"/>
      <c r="W6" s="14"/>
      <c r="X6" s="14"/>
      <c r="Y6" s="14"/>
      <c r="Z6" s="14"/>
    </row>
    <row r="7" spans="1:26" ht="25" customHeight="1" thickBot="1" x14ac:dyDescent="0.25">
      <c r="A7" s="44"/>
      <c r="B7" s="44"/>
      <c r="C7" s="133" t="s">
        <v>364</v>
      </c>
      <c r="D7" s="133"/>
      <c r="E7" s="133"/>
      <c r="F7" s="133"/>
      <c r="G7" s="133"/>
      <c r="H7" s="133"/>
      <c r="I7" s="133"/>
      <c r="J7" s="134"/>
      <c r="K7" s="135" t="s">
        <v>365</v>
      </c>
      <c r="L7" s="133"/>
      <c r="M7" s="133"/>
      <c r="N7" s="133"/>
      <c r="O7" s="135" t="s">
        <v>366</v>
      </c>
      <c r="P7" s="133"/>
      <c r="Q7" s="133"/>
      <c r="R7" s="133"/>
      <c r="S7" s="32"/>
      <c r="T7" s="32"/>
      <c r="U7" s="32"/>
      <c r="V7" s="14"/>
      <c r="W7" s="14"/>
      <c r="X7" s="14"/>
      <c r="Y7" s="14"/>
      <c r="Z7" s="14"/>
    </row>
    <row r="8" spans="1:26" ht="70" customHeight="1" thickTop="1" thickBot="1" x14ac:dyDescent="0.25">
      <c r="A8" s="142" t="s">
        <v>94</v>
      </c>
      <c r="B8" s="142"/>
      <c r="C8" s="136" t="s">
        <v>282</v>
      </c>
      <c r="D8" s="136"/>
      <c r="E8" s="136" t="s">
        <v>283</v>
      </c>
      <c r="F8" s="136"/>
      <c r="G8" s="136" t="s">
        <v>284</v>
      </c>
      <c r="H8" s="136"/>
      <c r="I8" s="136" t="s">
        <v>285</v>
      </c>
      <c r="J8" s="136"/>
      <c r="K8" s="136" t="s">
        <v>286</v>
      </c>
      <c r="L8" s="136"/>
      <c r="M8" s="136" t="s">
        <v>287</v>
      </c>
      <c r="N8" s="136"/>
      <c r="O8" s="136" t="s">
        <v>288</v>
      </c>
      <c r="P8" s="136"/>
      <c r="Q8" s="136" t="s">
        <v>289</v>
      </c>
      <c r="R8" s="136"/>
    </row>
    <row r="9" spans="1:26" s="18" customFormat="1" ht="24" customHeight="1" thickTop="1" x14ac:dyDescent="0.2">
      <c r="A9" s="145"/>
      <c r="B9" s="146"/>
      <c r="C9" s="131"/>
      <c r="D9" s="132"/>
      <c r="E9" s="137"/>
      <c r="F9" s="138"/>
      <c r="G9" s="131"/>
      <c r="H9" s="132"/>
      <c r="I9" s="137"/>
      <c r="J9" s="138"/>
      <c r="K9" s="131"/>
      <c r="L9" s="132"/>
      <c r="M9" s="137"/>
      <c r="N9" s="138"/>
      <c r="O9" s="131"/>
      <c r="P9" s="132"/>
      <c r="Q9" s="137"/>
      <c r="R9" s="138"/>
    </row>
    <row r="10" spans="1:26" s="18" customFormat="1" ht="24" customHeight="1" x14ac:dyDescent="0.2">
      <c r="A10" s="143"/>
      <c r="B10" s="144"/>
      <c r="C10" s="129"/>
      <c r="D10" s="130"/>
      <c r="E10" s="126"/>
      <c r="F10" s="127"/>
      <c r="G10" s="129"/>
      <c r="H10" s="130"/>
      <c r="I10" s="126"/>
      <c r="J10" s="127"/>
      <c r="K10" s="129"/>
      <c r="L10" s="130"/>
      <c r="M10" s="126"/>
      <c r="N10" s="127"/>
      <c r="O10" s="129"/>
      <c r="P10" s="130"/>
      <c r="Q10" s="126"/>
      <c r="R10" s="127"/>
    </row>
    <row r="11" spans="1:26" s="18" customFormat="1" ht="24" customHeight="1" x14ac:dyDescent="0.2">
      <c r="A11" s="143"/>
      <c r="B11" s="144"/>
      <c r="C11" s="129"/>
      <c r="D11" s="130"/>
      <c r="E11" s="126"/>
      <c r="F11" s="127"/>
      <c r="G11" s="129"/>
      <c r="H11" s="130"/>
      <c r="I11" s="126"/>
      <c r="J11" s="127"/>
      <c r="K11" s="129"/>
      <c r="L11" s="130"/>
      <c r="M11" s="126"/>
      <c r="N11" s="127"/>
      <c r="O11" s="129"/>
      <c r="P11" s="130"/>
      <c r="Q11" s="126"/>
      <c r="R11" s="127"/>
    </row>
    <row r="12" spans="1:26" s="18" customFormat="1" ht="24" customHeight="1" x14ac:dyDescent="0.2">
      <c r="A12" s="143"/>
      <c r="B12" s="144"/>
      <c r="C12" s="129"/>
      <c r="D12" s="130"/>
      <c r="E12" s="126"/>
      <c r="F12" s="127"/>
      <c r="G12" s="129"/>
      <c r="H12" s="130"/>
      <c r="I12" s="126"/>
      <c r="J12" s="127"/>
      <c r="K12" s="129"/>
      <c r="L12" s="130"/>
      <c r="M12" s="126"/>
      <c r="N12" s="127"/>
      <c r="O12" s="129"/>
      <c r="P12" s="130"/>
      <c r="Q12" s="126"/>
      <c r="R12" s="127"/>
    </row>
    <row r="13" spans="1:26" s="18" customFormat="1" ht="24" customHeight="1" x14ac:dyDescent="0.2">
      <c r="A13" s="143"/>
      <c r="B13" s="144"/>
      <c r="C13" s="129"/>
      <c r="D13" s="130"/>
      <c r="E13" s="126"/>
      <c r="F13" s="127"/>
      <c r="G13" s="129"/>
      <c r="H13" s="130"/>
      <c r="I13" s="126"/>
      <c r="J13" s="127"/>
      <c r="K13" s="129"/>
      <c r="L13" s="130"/>
      <c r="M13" s="126"/>
      <c r="N13" s="127"/>
      <c r="O13" s="129"/>
      <c r="P13" s="130"/>
      <c r="Q13" s="126"/>
      <c r="R13" s="127"/>
    </row>
    <row r="14" spans="1:26" s="18" customFormat="1" ht="24" customHeight="1" x14ac:dyDescent="0.2">
      <c r="A14" s="143"/>
      <c r="B14" s="144"/>
      <c r="C14" s="129"/>
      <c r="D14" s="130"/>
      <c r="E14" s="126"/>
      <c r="F14" s="127"/>
      <c r="G14" s="129"/>
      <c r="H14" s="130"/>
      <c r="I14" s="126"/>
      <c r="J14" s="127"/>
      <c r="K14" s="129"/>
      <c r="L14" s="130"/>
      <c r="M14" s="126"/>
      <c r="N14" s="127"/>
      <c r="O14" s="129"/>
      <c r="P14" s="130"/>
      <c r="Q14" s="126"/>
      <c r="R14" s="127"/>
    </row>
    <row r="17" spans="1:18" s="18" customFormat="1" ht="24" customHeight="1" thickBot="1" x14ac:dyDescent="0.25">
      <c r="A17" s="147" t="s">
        <v>446</v>
      </c>
      <c r="B17" s="147"/>
      <c r="C17" s="147"/>
      <c r="D17" s="147"/>
      <c r="E17" s="147"/>
      <c r="F17" s="147"/>
      <c r="G17" s="147"/>
      <c r="H17" s="147"/>
      <c r="I17" s="147"/>
      <c r="J17" s="147"/>
      <c r="K17" s="147"/>
      <c r="L17" s="63"/>
      <c r="M17" s="65"/>
      <c r="N17" s="65"/>
      <c r="O17" s="65"/>
      <c r="P17" s="65"/>
      <c r="Q17" s="65"/>
      <c r="R17" s="65"/>
    </row>
    <row r="18" spans="1:18" s="18" customFormat="1" ht="70" customHeight="1" thickTop="1" x14ac:dyDescent="0.2">
      <c r="A18" s="124" t="s">
        <v>94</v>
      </c>
      <c r="B18" s="124"/>
      <c r="C18" s="128" t="s">
        <v>282</v>
      </c>
      <c r="D18" s="128"/>
      <c r="E18" s="128" t="s">
        <v>283</v>
      </c>
      <c r="F18" s="128"/>
      <c r="G18" s="128" t="s">
        <v>284</v>
      </c>
      <c r="H18" s="128"/>
      <c r="I18" s="128" t="s">
        <v>285</v>
      </c>
      <c r="J18" s="128"/>
      <c r="K18" s="128" t="s">
        <v>286</v>
      </c>
      <c r="L18" s="128"/>
      <c r="M18" s="128" t="s">
        <v>287</v>
      </c>
      <c r="N18" s="128"/>
      <c r="O18" s="128" t="s">
        <v>288</v>
      </c>
      <c r="P18" s="128"/>
      <c r="Q18" s="128" t="s">
        <v>289</v>
      </c>
      <c r="R18" s="128"/>
    </row>
    <row r="19" spans="1:18" s="18" customFormat="1" ht="17" x14ac:dyDescent="0.2">
      <c r="A19" s="125"/>
      <c r="B19" s="125"/>
      <c r="C19" s="82" t="s">
        <v>449</v>
      </c>
      <c r="D19" s="94" t="s">
        <v>406</v>
      </c>
      <c r="E19" s="82" t="s">
        <v>449</v>
      </c>
      <c r="F19" s="82" t="s">
        <v>406</v>
      </c>
      <c r="G19" s="82" t="s">
        <v>449</v>
      </c>
      <c r="H19" s="82" t="s">
        <v>406</v>
      </c>
      <c r="I19" s="82" t="s">
        <v>449</v>
      </c>
      <c r="J19" s="82" t="s">
        <v>406</v>
      </c>
      <c r="K19" s="82" t="s">
        <v>449</v>
      </c>
      <c r="L19" s="82" t="s">
        <v>406</v>
      </c>
      <c r="M19" s="82" t="s">
        <v>449</v>
      </c>
      <c r="N19" s="82" t="s">
        <v>406</v>
      </c>
      <c r="O19" s="82" t="s">
        <v>449</v>
      </c>
      <c r="P19" s="82" t="s">
        <v>406</v>
      </c>
      <c r="Q19" s="82" t="s">
        <v>449</v>
      </c>
      <c r="R19" s="82" t="s">
        <v>406</v>
      </c>
    </row>
    <row r="20" spans="1:18" s="18" customFormat="1" ht="24" customHeight="1" x14ac:dyDescent="0.2">
      <c r="A20" s="140"/>
      <c r="B20" s="86" t="s">
        <v>447</v>
      </c>
      <c r="C20" s="40"/>
      <c r="D20" s="83"/>
      <c r="E20" s="87"/>
      <c r="F20" s="83"/>
      <c r="G20" s="87"/>
      <c r="H20" s="83"/>
      <c r="I20" s="87"/>
      <c r="J20" s="83"/>
      <c r="K20" s="87"/>
      <c r="L20" s="83"/>
      <c r="M20" s="87"/>
      <c r="N20" s="83"/>
      <c r="O20" s="87"/>
      <c r="P20" s="83"/>
      <c r="Q20" s="87"/>
      <c r="R20" s="40"/>
    </row>
    <row r="21" spans="1:18" s="18" customFormat="1" ht="24" customHeight="1" x14ac:dyDescent="0.2">
      <c r="A21" s="141"/>
      <c r="B21" s="64" t="s">
        <v>448</v>
      </c>
      <c r="C21" s="39"/>
      <c r="D21" s="84"/>
      <c r="E21" s="85"/>
      <c r="F21" s="84"/>
      <c r="G21" s="85"/>
      <c r="H21" s="84"/>
      <c r="I21" s="85"/>
      <c r="J21" s="84"/>
      <c r="K21" s="85"/>
      <c r="L21" s="84"/>
      <c r="M21" s="85"/>
      <c r="N21" s="84"/>
      <c r="O21" s="85"/>
      <c r="P21" s="84"/>
      <c r="Q21" s="85"/>
      <c r="R21" s="39"/>
    </row>
    <row r="22" spans="1:18" s="18" customFormat="1" ht="24" customHeight="1" x14ac:dyDescent="0.2">
      <c r="A22" s="140"/>
      <c r="B22" s="86" t="s">
        <v>447</v>
      </c>
      <c r="C22" s="88"/>
      <c r="D22" s="89"/>
      <c r="E22" s="90"/>
      <c r="F22" s="89"/>
      <c r="G22" s="90"/>
      <c r="H22" s="89"/>
      <c r="I22" s="90"/>
      <c r="J22" s="89"/>
      <c r="K22" s="90"/>
      <c r="L22" s="89"/>
      <c r="M22" s="90"/>
      <c r="N22" s="89"/>
      <c r="O22" s="90"/>
      <c r="P22" s="89"/>
      <c r="Q22" s="90"/>
      <c r="R22" s="88"/>
    </row>
    <row r="23" spans="1:18" s="18" customFormat="1" ht="24" customHeight="1" x14ac:dyDescent="0.2">
      <c r="A23" s="141"/>
      <c r="B23" s="64" t="s">
        <v>448</v>
      </c>
      <c r="C23" s="91"/>
      <c r="D23" s="92"/>
      <c r="E23" s="93"/>
      <c r="F23" s="92"/>
      <c r="G23" s="93"/>
      <c r="H23" s="92"/>
      <c r="I23" s="93"/>
      <c r="J23" s="92"/>
      <c r="K23" s="93"/>
      <c r="L23" s="92"/>
      <c r="M23" s="93"/>
      <c r="N23" s="92"/>
      <c r="O23" s="93"/>
      <c r="P23" s="92"/>
      <c r="Q23" s="93"/>
      <c r="R23" s="91"/>
    </row>
    <row r="24" spans="1:18" s="18" customFormat="1" ht="24" customHeight="1" x14ac:dyDescent="0.2">
      <c r="A24" s="140"/>
      <c r="B24" s="86" t="s">
        <v>447</v>
      </c>
      <c r="C24" s="40"/>
      <c r="D24" s="83"/>
      <c r="E24" s="87"/>
      <c r="F24" s="83"/>
      <c r="G24" s="87"/>
      <c r="H24" s="83"/>
      <c r="I24" s="87"/>
      <c r="J24" s="83"/>
      <c r="K24" s="87"/>
      <c r="L24" s="83"/>
      <c r="M24" s="87"/>
      <c r="N24" s="83"/>
      <c r="O24" s="87"/>
      <c r="P24" s="83"/>
      <c r="Q24" s="87"/>
      <c r="R24" s="40"/>
    </row>
    <row r="25" spans="1:18" s="18" customFormat="1" ht="24" customHeight="1" x14ac:dyDescent="0.2">
      <c r="A25" s="141"/>
      <c r="B25" s="64" t="s">
        <v>448</v>
      </c>
      <c r="C25" s="39"/>
      <c r="D25" s="84"/>
      <c r="E25" s="85"/>
      <c r="F25" s="84"/>
      <c r="G25" s="85"/>
      <c r="H25" s="84"/>
      <c r="I25" s="85"/>
      <c r="J25" s="84"/>
      <c r="K25" s="85"/>
      <c r="L25" s="84"/>
      <c r="M25" s="85"/>
      <c r="N25" s="84"/>
      <c r="O25" s="85"/>
      <c r="P25" s="84"/>
      <c r="Q25" s="85"/>
      <c r="R25" s="39"/>
    </row>
    <row r="26" spans="1:18" s="18" customFormat="1" ht="24" customHeight="1" x14ac:dyDescent="0.2">
      <c r="A26" s="140"/>
      <c r="B26" s="86" t="s">
        <v>447</v>
      </c>
      <c r="C26" s="88"/>
      <c r="D26" s="89"/>
      <c r="E26" s="90"/>
      <c r="F26" s="89"/>
      <c r="G26" s="90"/>
      <c r="H26" s="89"/>
      <c r="I26" s="90"/>
      <c r="J26" s="89"/>
      <c r="K26" s="90"/>
      <c r="L26" s="89"/>
      <c r="M26" s="90"/>
      <c r="N26" s="89"/>
      <c r="O26" s="90"/>
      <c r="P26" s="89"/>
      <c r="Q26" s="90"/>
      <c r="R26" s="88"/>
    </row>
    <row r="27" spans="1:18" s="18" customFormat="1" ht="24" customHeight="1" x14ac:dyDescent="0.2">
      <c r="A27" s="141"/>
      <c r="B27" s="64" t="s">
        <v>448</v>
      </c>
      <c r="C27" s="91"/>
      <c r="D27" s="92"/>
      <c r="E27" s="93"/>
      <c r="F27" s="92"/>
      <c r="G27" s="93"/>
      <c r="H27" s="92"/>
      <c r="I27" s="93"/>
      <c r="J27" s="92"/>
      <c r="K27" s="93"/>
      <c r="L27" s="92"/>
      <c r="M27" s="93"/>
      <c r="N27" s="92"/>
      <c r="O27" s="93"/>
      <c r="P27" s="92"/>
      <c r="Q27" s="93"/>
      <c r="R27" s="91"/>
    </row>
    <row r="28" spans="1:18" s="18" customFormat="1" ht="24" customHeight="1" x14ac:dyDescent="0.2">
      <c r="A28" s="140"/>
      <c r="B28" s="86" t="s">
        <v>447</v>
      </c>
      <c r="C28" s="40"/>
      <c r="D28" s="83"/>
      <c r="E28" s="87"/>
      <c r="F28" s="83"/>
      <c r="G28" s="87"/>
      <c r="H28" s="83"/>
      <c r="I28" s="87"/>
      <c r="J28" s="83"/>
      <c r="K28" s="87"/>
      <c r="L28" s="83"/>
      <c r="M28" s="87"/>
      <c r="N28" s="83"/>
      <c r="O28" s="87"/>
      <c r="P28" s="83"/>
      <c r="Q28" s="87"/>
      <c r="R28" s="40"/>
    </row>
    <row r="29" spans="1:18" s="18" customFormat="1" ht="24" customHeight="1" x14ac:dyDescent="0.2">
      <c r="A29" s="141"/>
      <c r="B29" s="64" t="s">
        <v>448</v>
      </c>
      <c r="C29" s="39"/>
      <c r="D29" s="84"/>
      <c r="E29" s="85"/>
      <c r="F29" s="84"/>
      <c r="G29" s="85"/>
      <c r="H29" s="84"/>
      <c r="I29" s="85"/>
      <c r="J29" s="84"/>
      <c r="K29" s="85"/>
      <c r="L29" s="84"/>
      <c r="M29" s="85"/>
      <c r="N29" s="84"/>
      <c r="O29" s="85"/>
      <c r="P29" s="84"/>
      <c r="Q29" s="85"/>
      <c r="R29" s="39"/>
    </row>
    <row r="30" spans="1:18" s="18" customFormat="1" ht="24" customHeight="1" x14ac:dyDescent="0.2">
      <c r="A30" s="140"/>
      <c r="B30" s="86" t="s">
        <v>447</v>
      </c>
      <c r="C30" s="88"/>
      <c r="D30" s="89"/>
      <c r="E30" s="90"/>
      <c r="F30" s="89"/>
      <c r="G30" s="90"/>
      <c r="H30" s="89"/>
      <c r="I30" s="90"/>
      <c r="J30" s="89"/>
      <c r="K30" s="90"/>
      <c r="L30" s="89"/>
      <c r="M30" s="90"/>
      <c r="N30" s="89"/>
      <c r="O30" s="90"/>
      <c r="P30" s="89"/>
      <c r="Q30" s="90"/>
      <c r="R30" s="88"/>
    </row>
    <row r="31" spans="1:18" s="18" customFormat="1" ht="24" customHeight="1" x14ac:dyDescent="0.2">
      <c r="A31" s="141"/>
      <c r="B31" s="64" t="s">
        <v>448</v>
      </c>
      <c r="C31" s="91"/>
      <c r="D31" s="92"/>
      <c r="E31" s="93"/>
      <c r="F31" s="92"/>
      <c r="G31" s="93"/>
      <c r="H31" s="92"/>
      <c r="I31" s="93"/>
      <c r="J31" s="92"/>
      <c r="K31" s="93"/>
      <c r="L31" s="92"/>
      <c r="M31" s="93"/>
      <c r="N31" s="92"/>
      <c r="O31" s="93"/>
      <c r="P31" s="92"/>
      <c r="Q31" s="93"/>
      <c r="R31" s="91"/>
    </row>
  </sheetData>
  <sheetProtection formatCells="0" formatColumns="0" formatRows="0" insertColumns="0" insertRows="0"/>
  <mergeCells count="86">
    <mergeCell ref="A30:A31"/>
    <mergeCell ref="A8:B8"/>
    <mergeCell ref="A14:B14"/>
    <mergeCell ref="A13:B13"/>
    <mergeCell ref="A12:B12"/>
    <mergeCell ref="A11:B11"/>
    <mergeCell ref="A10:B10"/>
    <mergeCell ref="A9:B9"/>
    <mergeCell ref="A20:A21"/>
    <mergeCell ref="A22:A23"/>
    <mergeCell ref="A24:A25"/>
    <mergeCell ref="A26:A27"/>
    <mergeCell ref="A17:K17"/>
    <mergeCell ref="C18:D18"/>
    <mergeCell ref="E18:F18"/>
    <mergeCell ref="C11:D11"/>
    <mergeCell ref="U1:V1"/>
    <mergeCell ref="W1:X1"/>
    <mergeCell ref="A4:R5"/>
    <mergeCell ref="O1:P1"/>
    <mergeCell ref="A28:A29"/>
    <mergeCell ref="C10:D10"/>
    <mergeCell ref="C9:D9"/>
    <mergeCell ref="E14:F14"/>
    <mergeCell ref="E13:F13"/>
    <mergeCell ref="E12:F12"/>
    <mergeCell ref="E11:F11"/>
    <mergeCell ref="E10:F10"/>
    <mergeCell ref="E9:F9"/>
    <mergeCell ref="C14:D14"/>
    <mergeCell ref="C13:D13"/>
    <mergeCell ref="C12:D12"/>
    <mergeCell ref="G10:H10"/>
    <mergeCell ref="G9:H9"/>
    <mergeCell ref="I14:J14"/>
    <mergeCell ref="I13:J13"/>
    <mergeCell ref="I12:J12"/>
    <mergeCell ref="I11:J11"/>
    <mergeCell ref="I10:J10"/>
    <mergeCell ref="I9:J9"/>
    <mergeCell ref="G14:H14"/>
    <mergeCell ref="G13:H13"/>
    <mergeCell ref="G12:H12"/>
    <mergeCell ref="G11:H11"/>
    <mergeCell ref="K10:L10"/>
    <mergeCell ref="K9:L9"/>
    <mergeCell ref="M14:N14"/>
    <mergeCell ref="M13:N13"/>
    <mergeCell ref="M12:N12"/>
    <mergeCell ref="M11:N11"/>
    <mergeCell ref="M10:N10"/>
    <mergeCell ref="M9:N9"/>
    <mergeCell ref="K14:L14"/>
    <mergeCell ref="K13:L13"/>
    <mergeCell ref="K12:L12"/>
    <mergeCell ref="K11:L11"/>
    <mergeCell ref="Q10:R10"/>
    <mergeCell ref="O11:P11"/>
    <mergeCell ref="O10:P10"/>
    <mergeCell ref="O9:P9"/>
    <mergeCell ref="C7:J7"/>
    <mergeCell ref="K7:N7"/>
    <mergeCell ref="O7:R7"/>
    <mergeCell ref="C8:D8"/>
    <mergeCell ref="E8:F8"/>
    <mergeCell ref="G8:H8"/>
    <mergeCell ref="I8:J8"/>
    <mergeCell ref="K8:L8"/>
    <mergeCell ref="M8:N8"/>
    <mergeCell ref="O8:P8"/>
    <mergeCell ref="Q8:R8"/>
    <mergeCell ref="Q9:R9"/>
    <mergeCell ref="A18:B19"/>
    <mergeCell ref="Q14:R14"/>
    <mergeCell ref="Q13:R13"/>
    <mergeCell ref="Q12:R12"/>
    <mergeCell ref="Q11:R11"/>
    <mergeCell ref="Q18:R18"/>
    <mergeCell ref="O14:P14"/>
    <mergeCell ref="O13:P13"/>
    <mergeCell ref="O12:P12"/>
    <mergeCell ref="G18:H18"/>
    <mergeCell ref="I18:J18"/>
    <mergeCell ref="K18:L18"/>
    <mergeCell ref="M18:N18"/>
    <mergeCell ref="O18:P18"/>
  </mergeCells>
  <pageMargins left="0.70866141732283472" right="0.70866141732283472" top="0.74803149606299213" bottom="0.74803149606299213" header="0.31496062992125984" footer="0.31496062992125984"/>
  <pageSetup paperSize="9" orientation="landscape"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6"/>
  <dimension ref="A1:N215"/>
  <sheetViews>
    <sheetView showGridLines="0" zoomScale="90" zoomScaleNormal="90" workbookViewId="0"/>
  </sheetViews>
  <sheetFormatPr baseColWidth="10" defaultColWidth="10.83203125" defaultRowHeight="16" x14ac:dyDescent="0.2"/>
  <cols>
    <col min="1" max="1" width="45.1640625" style="1" customWidth="1"/>
    <col min="2" max="2" width="54.33203125" style="1" customWidth="1"/>
    <col min="3" max="3" width="24.83203125" style="1" customWidth="1"/>
    <col min="4" max="7" width="24.83203125" style="8" customWidth="1"/>
    <col min="8" max="8" width="12.1640625" style="8" customWidth="1"/>
    <col min="9" max="16384" width="10.83203125" style="1"/>
  </cols>
  <sheetData>
    <row r="1" spans="1:14" ht="72" customHeight="1" x14ac:dyDescent="0.2">
      <c r="D1" s="32"/>
      <c r="E1" s="32"/>
      <c r="F1" s="42"/>
      <c r="G1" s="42" t="s">
        <v>134</v>
      </c>
      <c r="H1" s="31"/>
      <c r="I1" s="31"/>
    </row>
    <row r="2" spans="1:14" ht="40" customHeight="1" x14ac:dyDescent="0.2">
      <c r="B2" s="14"/>
      <c r="C2" s="14"/>
      <c r="D2" s="14"/>
      <c r="E2" s="14"/>
      <c r="F2" s="14"/>
      <c r="G2" s="14"/>
      <c r="H2" s="14"/>
    </row>
    <row r="3" spans="1:14" ht="16" customHeight="1" x14ac:dyDescent="0.2">
      <c r="B3" s="14"/>
      <c r="C3" s="14"/>
      <c r="D3" s="14"/>
      <c r="E3" s="14"/>
      <c r="F3" s="14"/>
      <c r="G3" s="14"/>
      <c r="H3" s="14"/>
    </row>
    <row r="4" spans="1:14" ht="21" x14ac:dyDescent="0.25">
      <c r="A4" s="15" t="s">
        <v>133</v>
      </c>
      <c r="B4" s="148" t="s">
        <v>369</v>
      </c>
      <c r="C4" s="148"/>
      <c r="D4" s="148"/>
      <c r="E4" s="148"/>
      <c r="F4" s="148"/>
      <c r="G4" s="148"/>
      <c r="H4" s="148"/>
    </row>
    <row r="5" spans="1:14" ht="118" customHeight="1" x14ac:dyDescent="0.2">
      <c r="A5" s="15" t="s">
        <v>132</v>
      </c>
      <c r="B5" s="149" t="s">
        <v>472</v>
      </c>
      <c r="C5" s="149"/>
      <c r="D5" s="149"/>
      <c r="E5" s="149"/>
      <c r="F5" s="149"/>
      <c r="G5" s="149"/>
      <c r="H5" s="149"/>
    </row>
    <row r="6" spans="1:14" s="7" customFormat="1" ht="25" customHeight="1" thickBot="1" x14ac:dyDescent="0.25">
      <c r="A6" s="55" t="s">
        <v>368</v>
      </c>
      <c r="B6" s="55" t="s">
        <v>367</v>
      </c>
      <c r="C6" s="55" t="s">
        <v>392</v>
      </c>
      <c r="D6" s="55" t="s">
        <v>393</v>
      </c>
      <c r="E6" s="55" t="s">
        <v>143</v>
      </c>
      <c r="F6" s="55" t="s">
        <v>141</v>
      </c>
      <c r="G6" s="55" t="s">
        <v>142</v>
      </c>
      <c r="H6" s="55" t="s">
        <v>70</v>
      </c>
    </row>
    <row r="7" spans="1:14" s="7" customFormat="1" ht="20" customHeight="1" thickTop="1" x14ac:dyDescent="0.2">
      <c r="A7" s="47"/>
      <c r="B7" s="51"/>
      <c r="C7" s="95"/>
      <c r="D7" s="95"/>
      <c r="E7" s="95"/>
      <c r="F7" s="95"/>
      <c r="G7" s="95"/>
      <c r="H7" s="48"/>
      <c r="K7" s="41"/>
      <c r="L7" s="41"/>
      <c r="M7" s="41"/>
      <c r="N7" s="41"/>
    </row>
    <row r="8" spans="1:14" s="7" customFormat="1" ht="20" customHeight="1" x14ac:dyDescent="0.2">
      <c r="A8" s="45"/>
      <c r="B8" s="52"/>
      <c r="C8" s="96"/>
      <c r="D8" s="96"/>
      <c r="E8" s="96"/>
      <c r="F8" s="96"/>
      <c r="G8" s="96"/>
      <c r="H8" s="46"/>
      <c r="K8" s="41"/>
      <c r="L8" s="41"/>
      <c r="M8" s="41"/>
      <c r="N8" s="41"/>
    </row>
    <row r="9" spans="1:14" s="7" customFormat="1" ht="20" customHeight="1" x14ac:dyDescent="0.2">
      <c r="A9" s="49"/>
      <c r="B9" s="53"/>
      <c r="C9" s="97"/>
      <c r="D9" s="97"/>
      <c r="E9" s="97"/>
      <c r="F9" s="97"/>
      <c r="G9" s="97"/>
      <c r="H9" s="50"/>
      <c r="K9" s="41"/>
      <c r="L9" s="41"/>
      <c r="M9" s="41"/>
      <c r="N9" s="41"/>
    </row>
    <row r="10" spans="1:14" s="7" customFormat="1" ht="20" customHeight="1" x14ac:dyDescent="0.2">
      <c r="A10" s="45"/>
      <c r="B10" s="52"/>
      <c r="C10" s="96"/>
      <c r="D10" s="96"/>
      <c r="E10" s="96"/>
      <c r="F10" s="96"/>
      <c r="G10" s="96"/>
      <c r="H10" s="46"/>
      <c r="K10" s="41"/>
      <c r="L10" s="41"/>
      <c r="M10" s="41"/>
      <c r="N10" s="41"/>
    </row>
    <row r="11" spans="1:14" s="7" customFormat="1" ht="20" customHeight="1" x14ac:dyDescent="0.2">
      <c r="A11" s="49"/>
      <c r="B11" s="53"/>
      <c r="C11" s="97"/>
      <c r="D11" s="97"/>
      <c r="E11" s="97"/>
      <c r="F11" s="97"/>
      <c r="G11" s="97"/>
      <c r="H11" s="50"/>
      <c r="K11" s="41"/>
      <c r="L11" s="41"/>
      <c r="M11" s="41"/>
      <c r="N11" s="41"/>
    </row>
    <row r="12" spans="1:14" s="7" customFormat="1" ht="20" customHeight="1" x14ac:dyDescent="0.2">
      <c r="A12" s="45"/>
      <c r="B12" s="52"/>
      <c r="C12" s="96"/>
      <c r="D12" s="96"/>
      <c r="E12" s="96"/>
      <c r="F12" s="96"/>
      <c r="G12" s="96"/>
      <c r="H12" s="46"/>
      <c r="K12" s="41"/>
      <c r="L12" s="41"/>
      <c r="M12" s="41"/>
      <c r="N12" s="41"/>
    </row>
    <row r="13" spans="1:14" s="7" customFormat="1" ht="20" customHeight="1" x14ac:dyDescent="0.2">
      <c r="A13" s="49"/>
      <c r="B13" s="53"/>
      <c r="C13" s="97"/>
      <c r="D13" s="97"/>
      <c r="E13" s="97"/>
      <c r="F13" s="97"/>
      <c r="G13" s="97"/>
      <c r="H13" s="50"/>
      <c r="K13" s="41"/>
      <c r="L13" s="41"/>
      <c r="M13" s="41"/>
      <c r="N13" s="41"/>
    </row>
    <row r="14" spans="1:14" s="7" customFormat="1" ht="20" customHeight="1" x14ac:dyDescent="0.2">
      <c r="A14" s="45"/>
      <c r="B14" s="52"/>
      <c r="C14" s="96"/>
      <c r="D14" s="96"/>
      <c r="E14" s="96"/>
      <c r="F14" s="96"/>
      <c r="G14" s="96"/>
      <c r="H14" s="46"/>
      <c r="K14" s="41"/>
      <c r="L14" s="41"/>
      <c r="M14" s="41"/>
      <c r="N14" s="41"/>
    </row>
    <row r="15" spans="1:14" s="7" customFormat="1" ht="20" customHeight="1" x14ac:dyDescent="0.2">
      <c r="A15" s="49"/>
      <c r="B15" s="53"/>
      <c r="C15" s="97"/>
      <c r="D15" s="97"/>
      <c r="E15" s="97"/>
      <c r="F15" s="97"/>
      <c r="G15" s="97"/>
      <c r="H15" s="50"/>
      <c r="K15" s="41"/>
      <c r="L15" s="41"/>
      <c r="M15" s="41"/>
      <c r="N15" s="41"/>
    </row>
    <row r="16" spans="1:14" s="7" customFormat="1" ht="20" customHeight="1" x14ac:dyDescent="0.2">
      <c r="A16" s="45"/>
      <c r="B16" s="52"/>
      <c r="C16" s="96"/>
      <c r="D16" s="96"/>
      <c r="E16" s="96"/>
      <c r="F16" s="96"/>
      <c r="G16" s="96"/>
      <c r="H16" s="46"/>
      <c r="K16" s="41"/>
      <c r="L16" s="41"/>
      <c r="M16" s="41"/>
      <c r="N16" s="41"/>
    </row>
    <row r="17" spans="1:14" s="7" customFormat="1" ht="20" customHeight="1" x14ac:dyDescent="0.2">
      <c r="A17" s="49"/>
      <c r="B17" s="53"/>
      <c r="C17" s="97"/>
      <c r="D17" s="97"/>
      <c r="E17" s="97"/>
      <c r="F17" s="97"/>
      <c r="G17" s="97"/>
      <c r="H17" s="50"/>
      <c r="K17" s="41"/>
      <c r="L17" s="41"/>
      <c r="M17" s="41"/>
      <c r="N17" s="41"/>
    </row>
    <row r="18" spans="1:14" s="7" customFormat="1" ht="20" customHeight="1" x14ac:dyDescent="0.2">
      <c r="A18" s="45"/>
      <c r="B18" s="52"/>
      <c r="C18" s="96"/>
      <c r="D18" s="96"/>
      <c r="E18" s="96"/>
      <c r="F18" s="96"/>
      <c r="G18" s="96"/>
      <c r="H18" s="46"/>
      <c r="K18" s="41"/>
      <c r="L18" s="41"/>
      <c r="M18" s="41"/>
      <c r="N18" s="41"/>
    </row>
    <row r="19" spans="1:14" s="7" customFormat="1" ht="20" customHeight="1" x14ac:dyDescent="0.2">
      <c r="A19" s="49"/>
      <c r="B19" s="53"/>
      <c r="C19" s="97"/>
      <c r="D19" s="97"/>
      <c r="E19" s="97"/>
      <c r="F19" s="97"/>
      <c r="G19" s="97"/>
      <c r="H19" s="50"/>
      <c r="K19" s="41"/>
      <c r="L19" s="41"/>
      <c r="M19" s="41"/>
      <c r="N19" s="41"/>
    </row>
    <row r="20" spans="1:14" s="7" customFormat="1" ht="20" customHeight="1" x14ac:dyDescent="0.2">
      <c r="A20" s="45"/>
      <c r="B20" s="52"/>
      <c r="C20" s="96"/>
      <c r="D20" s="96"/>
      <c r="E20" s="96"/>
      <c r="F20" s="96"/>
      <c r="G20" s="96"/>
      <c r="H20" s="46"/>
      <c r="K20" s="41"/>
      <c r="L20" s="41"/>
      <c r="M20" s="41"/>
      <c r="N20" s="41"/>
    </row>
    <row r="21" spans="1:14" s="7" customFormat="1" ht="20" customHeight="1" x14ac:dyDescent="0.2">
      <c r="A21" s="49"/>
      <c r="B21" s="53"/>
      <c r="C21" s="97"/>
      <c r="D21" s="97"/>
      <c r="E21" s="97"/>
      <c r="F21" s="97"/>
      <c r="G21" s="97"/>
      <c r="H21" s="50"/>
      <c r="K21" s="41"/>
      <c r="L21" s="41"/>
      <c r="M21" s="41"/>
      <c r="N21" s="41"/>
    </row>
    <row r="22" spans="1:14" s="7" customFormat="1" ht="20" customHeight="1" x14ac:dyDescent="0.2">
      <c r="A22" s="45"/>
      <c r="B22" s="52"/>
      <c r="C22" s="96"/>
      <c r="D22" s="96"/>
      <c r="E22" s="96"/>
      <c r="F22" s="96"/>
      <c r="G22" s="96"/>
      <c r="H22" s="46"/>
      <c r="K22" s="41"/>
      <c r="L22" s="41"/>
      <c r="M22" s="41"/>
      <c r="N22" s="41"/>
    </row>
    <row r="23" spans="1:14" s="7" customFormat="1" ht="20" customHeight="1" x14ac:dyDescent="0.2">
      <c r="A23" s="49"/>
      <c r="B23" s="53"/>
      <c r="C23" s="97"/>
      <c r="D23" s="97"/>
      <c r="E23" s="97"/>
      <c r="F23" s="97"/>
      <c r="G23" s="97"/>
      <c r="H23" s="50"/>
      <c r="K23" s="41"/>
      <c r="L23" s="41"/>
      <c r="M23" s="41"/>
      <c r="N23" s="41"/>
    </row>
    <row r="24" spans="1:14" s="7" customFormat="1" ht="20" customHeight="1" x14ac:dyDescent="0.2">
      <c r="A24" s="45"/>
      <c r="B24" s="52"/>
      <c r="C24" s="96"/>
      <c r="D24" s="96"/>
      <c r="E24" s="96"/>
      <c r="F24" s="96"/>
      <c r="G24" s="96"/>
      <c r="H24" s="46"/>
      <c r="K24" s="41"/>
      <c r="L24" s="41"/>
      <c r="M24" s="41"/>
      <c r="N24" s="41"/>
    </row>
    <row r="25" spans="1:14" s="7" customFormat="1" ht="20" customHeight="1" x14ac:dyDescent="0.2">
      <c r="A25" s="49"/>
      <c r="B25" s="53"/>
      <c r="C25" s="97"/>
      <c r="D25" s="97"/>
      <c r="E25" s="97"/>
      <c r="F25" s="97"/>
      <c r="G25" s="97"/>
      <c r="H25" s="50"/>
      <c r="K25" s="41"/>
      <c r="L25" s="41"/>
      <c r="M25" s="41"/>
      <c r="N25" s="41"/>
    </row>
    <row r="26" spans="1:14" s="7" customFormat="1" ht="20" customHeight="1" x14ac:dyDescent="0.2">
      <c r="A26" s="45"/>
      <c r="B26" s="52"/>
      <c r="C26" s="96"/>
      <c r="D26" s="96"/>
      <c r="E26" s="96"/>
      <c r="F26" s="96"/>
      <c r="G26" s="96"/>
      <c r="H26" s="46"/>
      <c r="K26" s="41"/>
      <c r="L26" s="41"/>
      <c r="M26" s="41"/>
      <c r="N26" s="41"/>
    </row>
    <row r="27" spans="1:14" s="7" customFormat="1" ht="20" customHeight="1" x14ac:dyDescent="0.2">
      <c r="A27" s="49"/>
      <c r="B27" s="53"/>
      <c r="C27" s="97"/>
      <c r="D27" s="97"/>
      <c r="E27" s="97"/>
      <c r="F27" s="97"/>
      <c r="G27" s="97"/>
      <c r="H27" s="50"/>
      <c r="K27" s="41"/>
      <c r="L27" s="41"/>
      <c r="M27" s="41"/>
      <c r="N27" s="41"/>
    </row>
    <row r="28" spans="1:14" s="7" customFormat="1" ht="20" customHeight="1" x14ac:dyDescent="0.2">
      <c r="A28" s="45"/>
      <c r="B28" s="52"/>
      <c r="C28" s="96"/>
      <c r="D28" s="96"/>
      <c r="E28" s="96"/>
      <c r="F28" s="96"/>
      <c r="G28" s="96"/>
      <c r="H28" s="46"/>
      <c r="K28" s="41"/>
      <c r="L28" s="41"/>
      <c r="M28" s="41"/>
      <c r="N28" s="41"/>
    </row>
    <row r="29" spans="1:14" s="7" customFormat="1" ht="20" customHeight="1" x14ac:dyDescent="0.2">
      <c r="A29" s="49"/>
      <c r="B29" s="53"/>
      <c r="C29" s="97"/>
      <c r="D29" s="97"/>
      <c r="E29" s="97"/>
      <c r="F29" s="97"/>
      <c r="G29" s="97"/>
      <c r="H29" s="50"/>
      <c r="K29" s="41"/>
      <c r="L29" s="41"/>
      <c r="M29" s="41"/>
      <c r="N29" s="41"/>
    </row>
    <row r="30" spans="1:14" s="7" customFormat="1" ht="20" customHeight="1" x14ac:dyDescent="0.2">
      <c r="A30" s="45"/>
      <c r="B30" s="52"/>
      <c r="C30" s="96"/>
      <c r="D30" s="96"/>
      <c r="E30" s="96"/>
      <c r="F30" s="96"/>
      <c r="G30" s="96"/>
      <c r="H30" s="46"/>
      <c r="K30" s="41"/>
      <c r="L30" s="41"/>
      <c r="M30" s="41"/>
      <c r="N30" s="41"/>
    </row>
    <row r="31" spans="1:14" s="7" customFormat="1" ht="20" customHeight="1" x14ac:dyDescent="0.2">
      <c r="A31" s="49"/>
      <c r="B31" s="53"/>
      <c r="C31" s="97"/>
      <c r="D31" s="97"/>
      <c r="E31" s="97"/>
      <c r="F31" s="97"/>
      <c r="G31" s="97"/>
      <c r="H31" s="50"/>
      <c r="K31" s="41"/>
      <c r="L31" s="41"/>
      <c r="M31" s="41"/>
      <c r="N31" s="41"/>
    </row>
    <row r="32" spans="1:14" s="7" customFormat="1" ht="20" customHeight="1" x14ac:dyDescent="0.2">
      <c r="A32" s="45"/>
      <c r="B32" s="52"/>
      <c r="C32" s="96"/>
      <c r="D32" s="96"/>
      <c r="E32" s="96"/>
      <c r="F32" s="96"/>
      <c r="G32" s="96"/>
      <c r="H32" s="46"/>
      <c r="K32" s="41"/>
      <c r="L32" s="41"/>
      <c r="M32" s="41"/>
      <c r="N32" s="41"/>
    </row>
    <row r="33" spans="1:14" s="7" customFormat="1" ht="20" customHeight="1" x14ac:dyDescent="0.2">
      <c r="A33" s="49"/>
      <c r="B33" s="53"/>
      <c r="C33" s="97"/>
      <c r="D33" s="97"/>
      <c r="E33" s="97"/>
      <c r="F33" s="97"/>
      <c r="G33" s="97"/>
      <c r="H33" s="50"/>
      <c r="K33" s="41"/>
      <c r="L33" s="41"/>
      <c r="M33" s="41"/>
      <c r="N33" s="41"/>
    </row>
    <row r="34" spans="1:14" s="7" customFormat="1" ht="20" customHeight="1" x14ac:dyDescent="0.2">
      <c r="A34" s="45"/>
      <c r="B34" s="52"/>
      <c r="C34" s="96"/>
      <c r="D34" s="96"/>
      <c r="E34" s="96"/>
      <c r="F34" s="96"/>
      <c r="G34" s="96"/>
      <c r="H34" s="46"/>
      <c r="K34" s="41"/>
      <c r="L34" s="41"/>
      <c r="M34" s="41"/>
      <c r="N34" s="41"/>
    </row>
    <row r="35" spans="1:14" s="7" customFormat="1" ht="20" customHeight="1" x14ac:dyDescent="0.2">
      <c r="A35" s="49"/>
      <c r="B35" s="53"/>
      <c r="C35" s="97"/>
      <c r="D35" s="97"/>
      <c r="E35" s="97"/>
      <c r="F35" s="97"/>
      <c r="G35" s="97"/>
      <c r="H35" s="50"/>
      <c r="K35" s="41"/>
      <c r="L35" s="41"/>
      <c r="M35" s="41"/>
      <c r="N35" s="41"/>
    </row>
    <row r="36" spans="1:14" s="7" customFormat="1" ht="20" customHeight="1" x14ac:dyDescent="0.2">
      <c r="A36" s="45"/>
      <c r="B36" s="52"/>
      <c r="C36" s="96"/>
      <c r="D36" s="96"/>
      <c r="E36" s="96"/>
      <c r="F36" s="96"/>
      <c r="G36" s="96"/>
      <c r="H36" s="46"/>
      <c r="K36" s="41"/>
      <c r="L36" s="41"/>
      <c r="M36" s="41"/>
      <c r="N36" s="41"/>
    </row>
    <row r="37" spans="1:14" s="7" customFormat="1" ht="20" customHeight="1" x14ac:dyDescent="0.2">
      <c r="A37" s="49"/>
      <c r="B37" s="53"/>
      <c r="C37" s="97"/>
      <c r="D37" s="97"/>
      <c r="E37" s="97"/>
      <c r="F37" s="97"/>
      <c r="G37" s="97"/>
      <c r="H37" s="50"/>
      <c r="K37" s="41"/>
      <c r="L37" s="41"/>
      <c r="M37" s="41"/>
      <c r="N37" s="41"/>
    </row>
    <row r="38" spans="1:14" s="7" customFormat="1" ht="20" customHeight="1" x14ac:dyDescent="0.2">
      <c r="A38" s="45"/>
      <c r="B38" s="52"/>
      <c r="C38" s="96"/>
      <c r="D38" s="96"/>
      <c r="E38" s="96"/>
      <c r="F38" s="96"/>
      <c r="G38" s="96"/>
      <c r="H38" s="46"/>
      <c r="K38" s="41"/>
      <c r="L38" s="41"/>
      <c r="M38" s="41"/>
      <c r="N38" s="41"/>
    </row>
    <row r="39" spans="1:14" s="7" customFormat="1" ht="20" customHeight="1" x14ac:dyDescent="0.2">
      <c r="A39" s="49"/>
      <c r="B39" s="53"/>
      <c r="C39" s="97"/>
      <c r="D39" s="97"/>
      <c r="E39" s="97"/>
      <c r="F39" s="97"/>
      <c r="G39" s="97"/>
      <c r="H39" s="50"/>
      <c r="K39" s="41"/>
      <c r="L39" s="41"/>
      <c r="M39" s="41"/>
      <c r="N39" s="41"/>
    </row>
    <row r="40" spans="1:14" s="7" customFormat="1" ht="20" customHeight="1" x14ac:dyDescent="0.2">
      <c r="A40" s="45"/>
      <c r="B40" s="52"/>
      <c r="C40" s="96"/>
      <c r="D40" s="96"/>
      <c r="E40" s="96"/>
      <c r="F40" s="96"/>
      <c r="G40" s="96"/>
      <c r="H40" s="46"/>
      <c r="K40" s="41"/>
      <c r="L40" s="41"/>
      <c r="M40" s="41"/>
      <c r="N40" s="41"/>
    </row>
    <row r="41" spans="1:14" s="7" customFormat="1" ht="20" customHeight="1" x14ac:dyDescent="0.2">
      <c r="A41" s="49"/>
      <c r="B41" s="53"/>
      <c r="C41" s="97"/>
      <c r="D41" s="97"/>
      <c r="E41" s="97"/>
      <c r="F41" s="97"/>
      <c r="G41" s="97"/>
      <c r="H41" s="50"/>
      <c r="K41" s="41"/>
      <c r="L41" s="41"/>
      <c r="M41" s="41"/>
      <c r="N41" s="41"/>
    </row>
    <row r="42" spans="1:14" s="7" customFormat="1" ht="20" customHeight="1" x14ac:dyDescent="0.2">
      <c r="A42" s="45"/>
      <c r="B42" s="52"/>
      <c r="C42" s="96"/>
      <c r="D42" s="96"/>
      <c r="E42" s="96"/>
      <c r="F42" s="96"/>
      <c r="G42" s="96"/>
      <c r="H42" s="46"/>
      <c r="K42" s="41"/>
      <c r="L42" s="41"/>
      <c r="M42" s="41"/>
      <c r="N42" s="41"/>
    </row>
    <row r="43" spans="1:14" s="7" customFormat="1" ht="20" customHeight="1" x14ac:dyDescent="0.2">
      <c r="A43" s="49"/>
      <c r="B43" s="53"/>
      <c r="C43" s="97"/>
      <c r="D43" s="97"/>
      <c r="E43" s="97"/>
      <c r="F43" s="97"/>
      <c r="G43" s="97"/>
      <c r="H43" s="50"/>
      <c r="K43" s="41"/>
      <c r="L43" s="41"/>
      <c r="M43" s="41"/>
      <c r="N43" s="41"/>
    </row>
    <row r="44" spans="1:14" s="7" customFormat="1" ht="20" customHeight="1" x14ac:dyDescent="0.2">
      <c r="A44" s="45"/>
      <c r="B44" s="52"/>
      <c r="C44" s="96"/>
      <c r="D44" s="96"/>
      <c r="E44" s="96"/>
      <c r="F44" s="96"/>
      <c r="G44" s="96"/>
      <c r="H44" s="46"/>
      <c r="K44" s="41"/>
      <c r="L44" s="41"/>
      <c r="M44" s="41"/>
      <c r="N44" s="41"/>
    </row>
    <row r="45" spans="1:14" s="7" customFormat="1" ht="20" customHeight="1" x14ac:dyDescent="0.2">
      <c r="A45" s="49"/>
      <c r="B45" s="53"/>
      <c r="C45" s="97"/>
      <c r="D45" s="97"/>
      <c r="E45" s="97"/>
      <c r="F45" s="97"/>
      <c r="G45" s="97"/>
      <c r="H45" s="50"/>
      <c r="K45" s="41"/>
      <c r="L45" s="41"/>
      <c r="M45" s="41"/>
      <c r="N45" s="41"/>
    </row>
    <row r="46" spans="1:14" s="7" customFormat="1" ht="20" customHeight="1" x14ac:dyDescent="0.2">
      <c r="A46" s="45"/>
      <c r="B46" s="52"/>
      <c r="C46" s="96"/>
      <c r="D46" s="96"/>
      <c r="E46" s="96"/>
      <c r="F46" s="96"/>
      <c r="G46" s="96"/>
      <c r="H46" s="46"/>
      <c r="K46" s="41"/>
      <c r="L46" s="41"/>
      <c r="M46" s="41"/>
      <c r="N46" s="41"/>
    </row>
    <row r="47" spans="1:14" s="7" customFormat="1" ht="20" customHeight="1" x14ac:dyDescent="0.2">
      <c r="A47" s="49"/>
      <c r="B47" s="53"/>
      <c r="C47" s="97"/>
      <c r="D47" s="97"/>
      <c r="E47" s="97"/>
      <c r="F47" s="97"/>
      <c r="G47" s="97"/>
      <c r="H47" s="50"/>
      <c r="K47" s="41"/>
      <c r="L47" s="41"/>
      <c r="M47" s="41"/>
      <c r="N47" s="41"/>
    </row>
    <row r="48" spans="1:14" s="7" customFormat="1" ht="20" customHeight="1" x14ac:dyDescent="0.2">
      <c r="A48" s="45"/>
      <c r="B48" s="52"/>
      <c r="C48" s="96"/>
      <c r="D48" s="96"/>
      <c r="E48" s="96"/>
      <c r="F48" s="96"/>
      <c r="G48" s="96"/>
      <c r="H48" s="46"/>
      <c r="K48" s="41"/>
      <c r="L48" s="41"/>
      <c r="M48" s="41"/>
      <c r="N48" s="41"/>
    </row>
    <row r="49" spans="1:14" s="7" customFormat="1" ht="20" customHeight="1" x14ac:dyDescent="0.2">
      <c r="A49" s="49"/>
      <c r="B49" s="53"/>
      <c r="C49" s="97"/>
      <c r="D49" s="97"/>
      <c r="E49" s="97"/>
      <c r="F49" s="97"/>
      <c r="G49" s="97"/>
      <c r="H49" s="50"/>
      <c r="K49" s="41"/>
      <c r="L49" s="41"/>
      <c r="M49" s="41"/>
      <c r="N49" s="41"/>
    </row>
    <row r="50" spans="1:14" s="7" customFormat="1" ht="20" customHeight="1" x14ac:dyDescent="0.2">
      <c r="A50" s="45"/>
      <c r="B50" s="52"/>
      <c r="C50" s="96"/>
      <c r="D50" s="96"/>
      <c r="E50" s="96"/>
      <c r="F50" s="96"/>
      <c r="G50" s="96"/>
      <c r="H50" s="46"/>
      <c r="K50" s="41"/>
      <c r="L50" s="41"/>
      <c r="M50" s="41"/>
      <c r="N50" s="41"/>
    </row>
    <row r="51" spans="1:14" s="7" customFormat="1" ht="20" customHeight="1" x14ac:dyDescent="0.2">
      <c r="A51" s="49"/>
      <c r="B51" s="53"/>
      <c r="C51" s="97"/>
      <c r="D51" s="97"/>
      <c r="E51" s="97"/>
      <c r="F51" s="97"/>
      <c r="G51" s="97"/>
      <c r="H51" s="50"/>
      <c r="K51" s="41"/>
      <c r="L51" s="41"/>
      <c r="M51" s="41"/>
      <c r="N51" s="41"/>
    </row>
    <row r="52" spans="1:14" s="7" customFormat="1" ht="20" customHeight="1" x14ac:dyDescent="0.2">
      <c r="A52" s="45"/>
      <c r="B52" s="52"/>
      <c r="C52" s="96"/>
      <c r="D52" s="96"/>
      <c r="E52" s="96"/>
      <c r="F52" s="96"/>
      <c r="G52" s="96"/>
      <c r="H52" s="46"/>
      <c r="K52" s="41"/>
      <c r="L52" s="41"/>
      <c r="M52" s="41"/>
      <c r="N52" s="41"/>
    </row>
    <row r="53" spans="1:14" s="7" customFormat="1" ht="20" customHeight="1" x14ac:dyDescent="0.2">
      <c r="A53" s="49"/>
      <c r="B53" s="53"/>
      <c r="C53" s="97"/>
      <c r="D53" s="97"/>
      <c r="E53" s="97"/>
      <c r="F53" s="97"/>
      <c r="G53" s="97"/>
      <c r="H53" s="50"/>
      <c r="K53" s="41"/>
      <c r="L53" s="41"/>
      <c r="M53" s="41"/>
      <c r="N53" s="41"/>
    </row>
    <row r="54" spans="1:14" s="7" customFormat="1" ht="20" customHeight="1" x14ac:dyDescent="0.2">
      <c r="A54" s="45"/>
      <c r="B54" s="52"/>
      <c r="C54" s="96"/>
      <c r="D54" s="96"/>
      <c r="E54" s="96"/>
      <c r="F54" s="96"/>
      <c r="G54" s="96"/>
      <c r="H54" s="46"/>
      <c r="K54" s="41"/>
      <c r="L54" s="41"/>
      <c r="M54" s="41"/>
      <c r="N54" s="41"/>
    </row>
    <row r="55" spans="1:14" s="7" customFormat="1" ht="20" customHeight="1" x14ac:dyDescent="0.2">
      <c r="A55" s="49"/>
      <c r="B55" s="53"/>
      <c r="C55" s="97"/>
      <c r="D55" s="97"/>
      <c r="E55" s="97"/>
      <c r="F55" s="97"/>
      <c r="G55" s="97"/>
      <c r="H55" s="50"/>
      <c r="K55" s="41"/>
      <c r="L55" s="41"/>
      <c r="M55" s="41"/>
      <c r="N55" s="41"/>
    </row>
    <row r="56" spans="1:14" s="7" customFormat="1" ht="20" customHeight="1" x14ac:dyDescent="0.2">
      <c r="A56" s="45"/>
      <c r="B56" s="52"/>
      <c r="C56" s="96"/>
      <c r="D56" s="96"/>
      <c r="E56" s="96"/>
      <c r="F56" s="96"/>
      <c r="G56" s="96"/>
      <c r="H56" s="46"/>
      <c r="K56" s="41"/>
      <c r="L56" s="41"/>
      <c r="M56" s="41"/>
      <c r="N56" s="41"/>
    </row>
    <row r="57" spans="1:14" s="7" customFormat="1" ht="20" customHeight="1" x14ac:dyDescent="0.2">
      <c r="A57" s="49"/>
      <c r="B57" s="53"/>
      <c r="C57" s="97"/>
      <c r="D57" s="97"/>
      <c r="E57" s="97"/>
      <c r="F57" s="97"/>
      <c r="G57" s="97"/>
      <c r="H57" s="50"/>
      <c r="K57" s="41"/>
      <c r="L57" s="41"/>
      <c r="M57" s="41"/>
      <c r="N57" s="41"/>
    </row>
    <row r="58" spans="1:14" s="7" customFormat="1" ht="20" customHeight="1" x14ac:dyDescent="0.2">
      <c r="A58" s="45"/>
      <c r="B58" s="52"/>
      <c r="C58" s="96"/>
      <c r="D58" s="96"/>
      <c r="E58" s="96"/>
      <c r="F58" s="96"/>
      <c r="G58" s="96"/>
      <c r="H58" s="46"/>
      <c r="K58" s="41"/>
      <c r="L58" s="41"/>
      <c r="M58" s="41"/>
      <c r="N58" s="41"/>
    </row>
    <row r="59" spans="1:14" s="7" customFormat="1" ht="20" customHeight="1" x14ac:dyDescent="0.2">
      <c r="A59" s="49"/>
      <c r="B59" s="53"/>
      <c r="C59" s="97"/>
      <c r="D59" s="97"/>
      <c r="E59" s="97"/>
      <c r="F59" s="97"/>
      <c r="G59" s="97"/>
      <c r="H59" s="50"/>
      <c r="K59" s="41"/>
      <c r="L59" s="41"/>
      <c r="M59" s="41"/>
      <c r="N59" s="41"/>
    </row>
    <row r="60" spans="1:14" s="7" customFormat="1" ht="20" customHeight="1" x14ac:dyDescent="0.2">
      <c r="A60" s="45"/>
      <c r="B60" s="52"/>
      <c r="C60" s="96"/>
      <c r="D60" s="96"/>
      <c r="E60" s="96"/>
      <c r="F60" s="96"/>
      <c r="G60" s="96"/>
      <c r="H60" s="46"/>
      <c r="K60" s="41"/>
      <c r="L60" s="41"/>
      <c r="M60" s="41"/>
      <c r="N60" s="41"/>
    </row>
    <row r="61" spans="1:14" s="7" customFormat="1" ht="20" customHeight="1" x14ac:dyDescent="0.2">
      <c r="A61" s="49"/>
      <c r="B61" s="53"/>
      <c r="C61" s="97"/>
      <c r="D61" s="97"/>
      <c r="E61" s="97"/>
      <c r="F61" s="97"/>
      <c r="G61" s="97"/>
      <c r="H61" s="50"/>
      <c r="K61" s="41"/>
      <c r="L61" s="41"/>
      <c r="M61" s="41"/>
      <c r="N61" s="41"/>
    </row>
    <row r="62" spans="1:14" s="7" customFormat="1" ht="20" customHeight="1" x14ac:dyDescent="0.2">
      <c r="A62" s="45"/>
      <c r="B62" s="52"/>
      <c r="C62" s="96"/>
      <c r="D62" s="96"/>
      <c r="E62" s="96"/>
      <c r="F62" s="96"/>
      <c r="G62" s="96"/>
      <c r="H62" s="46"/>
      <c r="K62" s="41"/>
      <c r="L62" s="41"/>
      <c r="M62" s="41"/>
      <c r="N62" s="41"/>
    </row>
    <row r="63" spans="1:14" s="7" customFormat="1" ht="20" customHeight="1" x14ac:dyDescent="0.2">
      <c r="A63" s="49"/>
      <c r="B63" s="53"/>
      <c r="C63" s="97"/>
      <c r="D63" s="97"/>
      <c r="E63" s="97"/>
      <c r="F63" s="97"/>
      <c r="G63" s="97"/>
      <c r="H63" s="50"/>
      <c r="K63" s="41"/>
      <c r="L63" s="41"/>
      <c r="M63" s="41"/>
      <c r="N63" s="41"/>
    </row>
    <row r="64" spans="1:14" s="7" customFormat="1" ht="20" customHeight="1" x14ac:dyDescent="0.2">
      <c r="A64" s="45"/>
      <c r="B64" s="52"/>
      <c r="C64" s="96"/>
      <c r="D64" s="96"/>
      <c r="E64" s="96"/>
      <c r="F64" s="96"/>
      <c r="G64" s="96"/>
      <c r="H64" s="46"/>
      <c r="K64" s="41"/>
      <c r="L64" s="41"/>
      <c r="M64" s="41"/>
      <c r="N64" s="41"/>
    </row>
    <row r="65" spans="1:14" s="7" customFormat="1" ht="20" customHeight="1" x14ac:dyDescent="0.2">
      <c r="A65" s="49"/>
      <c r="B65" s="53"/>
      <c r="C65" s="97"/>
      <c r="D65" s="97"/>
      <c r="E65" s="97"/>
      <c r="F65" s="97"/>
      <c r="G65" s="97"/>
      <c r="H65" s="50"/>
      <c r="K65" s="41"/>
      <c r="L65" s="41"/>
      <c r="M65" s="41"/>
      <c r="N65" s="41"/>
    </row>
    <row r="66" spans="1:14" s="7" customFormat="1" ht="20" customHeight="1" x14ac:dyDescent="0.2">
      <c r="A66" s="45"/>
      <c r="B66" s="52"/>
      <c r="C66" s="96"/>
      <c r="D66" s="96"/>
      <c r="E66" s="96"/>
      <c r="F66" s="96"/>
      <c r="G66" s="96"/>
      <c r="H66" s="46"/>
      <c r="K66" s="41"/>
      <c r="L66" s="41"/>
      <c r="M66" s="41"/>
      <c r="N66" s="41"/>
    </row>
    <row r="67" spans="1:14" s="7" customFormat="1" ht="20" customHeight="1" x14ac:dyDescent="0.2">
      <c r="A67" s="49"/>
      <c r="B67" s="53"/>
      <c r="C67" s="97"/>
      <c r="D67" s="97"/>
      <c r="E67" s="97"/>
      <c r="F67" s="97"/>
      <c r="G67" s="97"/>
      <c r="H67" s="50"/>
      <c r="K67" s="41"/>
      <c r="L67" s="41"/>
      <c r="M67" s="41"/>
      <c r="N67" s="41"/>
    </row>
    <row r="68" spans="1:14" s="7" customFormat="1" ht="20" customHeight="1" x14ac:dyDescent="0.2">
      <c r="A68" s="45"/>
      <c r="B68" s="52"/>
      <c r="C68" s="96"/>
      <c r="D68" s="96"/>
      <c r="E68" s="96"/>
      <c r="F68" s="96"/>
      <c r="G68" s="96"/>
      <c r="H68" s="46"/>
      <c r="K68" s="41"/>
      <c r="L68" s="41"/>
      <c r="M68" s="41"/>
      <c r="N68" s="41"/>
    </row>
    <row r="69" spans="1:14" s="7" customFormat="1" ht="20" customHeight="1" x14ac:dyDescent="0.2">
      <c r="A69" s="49"/>
      <c r="B69" s="53"/>
      <c r="C69" s="97"/>
      <c r="D69" s="97"/>
      <c r="E69" s="97"/>
      <c r="F69" s="97"/>
      <c r="G69" s="97"/>
      <c r="H69" s="50"/>
      <c r="K69" s="41"/>
      <c r="L69" s="41"/>
      <c r="M69" s="41"/>
      <c r="N69" s="41"/>
    </row>
    <row r="70" spans="1:14" s="7" customFormat="1" ht="20" customHeight="1" x14ac:dyDescent="0.2">
      <c r="A70" s="45"/>
      <c r="B70" s="52"/>
      <c r="C70" s="96"/>
      <c r="D70" s="96"/>
      <c r="E70" s="96"/>
      <c r="F70" s="96"/>
      <c r="G70" s="96"/>
      <c r="H70" s="46"/>
      <c r="K70" s="41"/>
      <c r="L70" s="41"/>
      <c r="M70" s="41"/>
      <c r="N70" s="41"/>
    </row>
    <row r="71" spans="1:14" s="7" customFormat="1" ht="20" customHeight="1" x14ac:dyDescent="0.2">
      <c r="A71" s="49"/>
      <c r="B71" s="53"/>
      <c r="C71" s="97"/>
      <c r="D71" s="97"/>
      <c r="E71" s="97"/>
      <c r="F71" s="97"/>
      <c r="G71" s="97"/>
      <c r="H71" s="50"/>
      <c r="K71" s="41"/>
      <c r="L71" s="41"/>
      <c r="M71" s="41"/>
      <c r="N71" s="41"/>
    </row>
    <row r="72" spans="1:14" s="7" customFormat="1" ht="20" customHeight="1" x14ac:dyDescent="0.2">
      <c r="A72" s="45"/>
      <c r="B72" s="52"/>
      <c r="C72" s="96"/>
      <c r="D72" s="96"/>
      <c r="E72" s="96"/>
      <c r="F72" s="96"/>
      <c r="G72" s="96"/>
      <c r="H72" s="46"/>
      <c r="K72" s="41"/>
      <c r="L72" s="41"/>
      <c r="M72" s="41"/>
      <c r="N72" s="41"/>
    </row>
    <row r="73" spans="1:14" s="7" customFormat="1" ht="20" customHeight="1" x14ac:dyDescent="0.2">
      <c r="A73" s="49"/>
      <c r="B73" s="53"/>
      <c r="C73" s="97"/>
      <c r="D73" s="97"/>
      <c r="E73" s="97"/>
      <c r="F73" s="97"/>
      <c r="G73" s="97"/>
      <c r="H73" s="50"/>
      <c r="K73" s="41"/>
      <c r="L73" s="41"/>
      <c r="M73" s="41"/>
      <c r="N73" s="41"/>
    </row>
    <row r="74" spans="1:14" s="7" customFormat="1" ht="20" customHeight="1" x14ac:dyDescent="0.2">
      <c r="A74" s="45"/>
      <c r="B74" s="52"/>
      <c r="C74" s="96"/>
      <c r="D74" s="96"/>
      <c r="E74" s="96"/>
      <c r="F74" s="96"/>
      <c r="G74" s="96"/>
      <c r="H74" s="46"/>
      <c r="K74" s="41"/>
      <c r="L74" s="41"/>
      <c r="M74" s="41"/>
      <c r="N74" s="41"/>
    </row>
    <row r="75" spans="1:14" s="7" customFormat="1" ht="20" customHeight="1" x14ac:dyDescent="0.2">
      <c r="A75" s="49"/>
      <c r="B75" s="53"/>
      <c r="C75" s="97"/>
      <c r="D75" s="97"/>
      <c r="E75" s="97"/>
      <c r="F75" s="97"/>
      <c r="G75" s="97"/>
      <c r="H75" s="50"/>
      <c r="K75" s="41"/>
      <c r="L75" s="41"/>
      <c r="M75" s="41"/>
      <c r="N75" s="41"/>
    </row>
    <row r="76" spans="1:14" s="7" customFormat="1" ht="20" customHeight="1" x14ac:dyDescent="0.2">
      <c r="A76" s="45"/>
      <c r="B76" s="52"/>
      <c r="C76" s="96"/>
      <c r="D76" s="96"/>
      <c r="E76" s="96"/>
      <c r="F76" s="96"/>
      <c r="G76" s="96"/>
      <c r="H76" s="46"/>
      <c r="K76" s="41"/>
      <c r="L76" s="41"/>
      <c r="M76" s="41"/>
      <c r="N76" s="41"/>
    </row>
    <row r="77" spans="1:14" s="7" customFormat="1" ht="20" customHeight="1" x14ac:dyDescent="0.2">
      <c r="A77" s="49"/>
      <c r="B77" s="53"/>
      <c r="C77" s="97"/>
      <c r="D77" s="97"/>
      <c r="E77" s="97"/>
      <c r="F77" s="97"/>
      <c r="G77" s="97"/>
      <c r="H77" s="50"/>
      <c r="K77" s="41"/>
      <c r="L77" s="41"/>
      <c r="M77" s="41"/>
      <c r="N77" s="41"/>
    </row>
    <row r="78" spans="1:14" s="7" customFormat="1" ht="20" customHeight="1" x14ac:dyDescent="0.2">
      <c r="A78" s="45"/>
      <c r="B78" s="52"/>
      <c r="C78" s="96"/>
      <c r="D78" s="96"/>
      <c r="E78" s="96"/>
      <c r="F78" s="96"/>
      <c r="G78" s="96"/>
      <c r="H78" s="46"/>
      <c r="K78" s="41"/>
      <c r="L78" s="41"/>
      <c r="M78" s="41"/>
      <c r="N78" s="41"/>
    </row>
    <row r="79" spans="1:14" s="7" customFormat="1" ht="20" customHeight="1" x14ac:dyDescent="0.2">
      <c r="A79" s="49"/>
      <c r="B79" s="53"/>
      <c r="C79" s="97"/>
      <c r="D79" s="97"/>
      <c r="E79" s="97"/>
      <c r="F79" s="97"/>
      <c r="G79" s="97"/>
      <c r="H79" s="50"/>
      <c r="K79" s="41"/>
      <c r="L79" s="41"/>
      <c r="M79" s="41"/>
      <c r="N79" s="41"/>
    </row>
    <row r="80" spans="1:14" s="7" customFormat="1" ht="20" customHeight="1" x14ac:dyDescent="0.2">
      <c r="A80" s="45"/>
      <c r="B80" s="52"/>
      <c r="C80" s="96"/>
      <c r="D80" s="96"/>
      <c r="E80" s="96"/>
      <c r="F80" s="96"/>
      <c r="G80" s="96"/>
      <c r="H80" s="46"/>
      <c r="K80" s="41"/>
      <c r="L80" s="41"/>
      <c r="M80" s="41"/>
      <c r="N80" s="41"/>
    </row>
    <row r="81" spans="1:14" s="7" customFormat="1" ht="20" customHeight="1" x14ac:dyDescent="0.2">
      <c r="A81" s="49"/>
      <c r="B81" s="53"/>
      <c r="C81" s="97"/>
      <c r="D81" s="97"/>
      <c r="E81" s="97"/>
      <c r="F81" s="97"/>
      <c r="G81" s="97"/>
      <c r="H81" s="50"/>
      <c r="K81" s="41"/>
      <c r="L81" s="41"/>
      <c r="M81" s="41"/>
      <c r="N81" s="41"/>
    </row>
    <row r="82" spans="1:14" s="7" customFormat="1" ht="20" customHeight="1" x14ac:dyDescent="0.2">
      <c r="A82" s="45"/>
      <c r="B82" s="52"/>
      <c r="C82" s="96"/>
      <c r="D82" s="96"/>
      <c r="E82" s="96"/>
      <c r="F82" s="96"/>
      <c r="G82" s="96"/>
      <c r="H82" s="46"/>
      <c r="K82" s="41"/>
      <c r="L82" s="41"/>
      <c r="M82" s="41"/>
      <c r="N82" s="41"/>
    </row>
    <row r="83" spans="1:14" s="7" customFormat="1" ht="20" customHeight="1" x14ac:dyDescent="0.2">
      <c r="A83" s="49"/>
      <c r="B83" s="53"/>
      <c r="C83" s="97"/>
      <c r="D83" s="97"/>
      <c r="E83" s="97"/>
      <c r="F83" s="97"/>
      <c r="G83" s="97"/>
      <c r="H83" s="50"/>
      <c r="K83" s="41"/>
      <c r="L83" s="41"/>
      <c r="M83" s="41"/>
      <c r="N83" s="41"/>
    </row>
    <row r="84" spans="1:14" s="7" customFormat="1" ht="20" customHeight="1" x14ac:dyDescent="0.2">
      <c r="A84" s="45"/>
      <c r="B84" s="52"/>
      <c r="C84" s="96"/>
      <c r="D84" s="96"/>
      <c r="E84" s="96"/>
      <c r="F84" s="96"/>
      <c r="G84" s="96"/>
      <c r="H84" s="46"/>
      <c r="K84" s="41"/>
      <c r="L84" s="41"/>
      <c r="M84" s="41"/>
      <c r="N84" s="41"/>
    </row>
    <row r="85" spans="1:14" s="7" customFormat="1" ht="20" customHeight="1" x14ac:dyDescent="0.2">
      <c r="A85" s="49"/>
      <c r="B85" s="53"/>
      <c r="C85" s="97"/>
      <c r="D85" s="97"/>
      <c r="E85" s="97"/>
      <c r="F85" s="97"/>
      <c r="G85" s="97"/>
      <c r="H85" s="50"/>
      <c r="K85" s="41"/>
      <c r="L85" s="41"/>
      <c r="M85" s="41"/>
      <c r="N85" s="41"/>
    </row>
    <row r="86" spans="1:14" s="7" customFormat="1" ht="20" customHeight="1" x14ac:dyDescent="0.2">
      <c r="A86" s="45"/>
      <c r="B86" s="52"/>
      <c r="C86" s="96"/>
      <c r="D86" s="96"/>
      <c r="E86" s="96"/>
      <c r="F86" s="96"/>
      <c r="G86" s="96"/>
      <c r="H86" s="46"/>
      <c r="K86" s="41"/>
      <c r="L86" s="41"/>
      <c r="M86" s="41"/>
      <c r="N86" s="41"/>
    </row>
    <row r="87" spans="1:14" s="7" customFormat="1" ht="20" customHeight="1" x14ac:dyDescent="0.2">
      <c r="A87" s="49"/>
      <c r="B87" s="53"/>
      <c r="C87" s="97"/>
      <c r="D87" s="97"/>
      <c r="E87" s="97"/>
      <c r="F87" s="97"/>
      <c r="G87" s="97"/>
      <c r="H87" s="50"/>
      <c r="K87" s="41"/>
      <c r="L87" s="41"/>
      <c r="M87" s="41"/>
      <c r="N87" s="41"/>
    </row>
    <row r="88" spans="1:14" s="7" customFormat="1" ht="20" customHeight="1" x14ac:dyDescent="0.2">
      <c r="A88" s="45"/>
      <c r="B88" s="52"/>
      <c r="C88" s="96"/>
      <c r="D88" s="96"/>
      <c r="E88" s="96"/>
      <c r="F88" s="96"/>
      <c r="G88" s="96"/>
      <c r="H88" s="46"/>
      <c r="K88" s="41"/>
      <c r="L88" s="41"/>
      <c r="M88" s="41"/>
      <c r="N88" s="41"/>
    </row>
    <row r="89" spans="1:14" s="7" customFormat="1" ht="20" customHeight="1" x14ac:dyDescent="0.2">
      <c r="A89" s="49"/>
      <c r="B89" s="53"/>
      <c r="C89" s="97"/>
      <c r="D89" s="97"/>
      <c r="E89" s="97"/>
      <c r="F89" s="97"/>
      <c r="G89" s="97"/>
      <c r="H89" s="50"/>
      <c r="K89" s="41"/>
      <c r="L89" s="41"/>
      <c r="M89" s="41"/>
      <c r="N89" s="41"/>
    </row>
    <row r="90" spans="1:14" s="7" customFormat="1" ht="20" customHeight="1" x14ac:dyDescent="0.2">
      <c r="A90" s="45"/>
      <c r="B90" s="52"/>
      <c r="C90" s="96"/>
      <c r="D90" s="96"/>
      <c r="E90" s="96"/>
      <c r="F90" s="96"/>
      <c r="G90" s="96"/>
      <c r="H90" s="46"/>
      <c r="K90" s="41"/>
      <c r="L90" s="41"/>
      <c r="M90" s="41"/>
      <c r="N90" s="41"/>
    </row>
    <row r="91" spans="1:14" s="7" customFormat="1" ht="20" customHeight="1" x14ac:dyDescent="0.2">
      <c r="A91" s="49"/>
      <c r="B91" s="53"/>
      <c r="C91" s="97"/>
      <c r="D91" s="97"/>
      <c r="E91" s="97"/>
      <c r="F91" s="97"/>
      <c r="G91" s="97"/>
      <c r="H91" s="50"/>
      <c r="K91" s="41"/>
      <c r="L91" s="41"/>
      <c r="M91" s="41"/>
      <c r="N91" s="41"/>
    </row>
    <row r="92" spans="1:14" s="7" customFormat="1" ht="20" customHeight="1" x14ac:dyDescent="0.2">
      <c r="A92" s="45"/>
      <c r="B92" s="52"/>
      <c r="C92" s="96"/>
      <c r="D92" s="96"/>
      <c r="E92" s="96"/>
      <c r="F92" s="96"/>
      <c r="G92" s="96"/>
      <c r="H92" s="46"/>
      <c r="K92" s="41"/>
      <c r="L92" s="41"/>
      <c r="M92" s="41"/>
      <c r="N92" s="41"/>
    </row>
    <row r="93" spans="1:14" s="7" customFormat="1" ht="20" customHeight="1" x14ac:dyDescent="0.2">
      <c r="A93" s="49"/>
      <c r="B93" s="53"/>
      <c r="C93" s="97"/>
      <c r="D93" s="97"/>
      <c r="E93" s="97"/>
      <c r="F93" s="97"/>
      <c r="G93" s="97"/>
      <c r="H93" s="50"/>
      <c r="K93" s="41"/>
      <c r="L93" s="41"/>
      <c r="M93" s="41"/>
      <c r="N93" s="41"/>
    </row>
    <row r="94" spans="1:14" ht="20" customHeight="1" x14ac:dyDescent="0.2">
      <c r="A94" s="45"/>
      <c r="B94" s="52"/>
      <c r="C94" s="96"/>
      <c r="D94" s="96"/>
      <c r="E94" s="96"/>
      <c r="F94" s="96"/>
      <c r="G94" s="96"/>
      <c r="H94" s="46"/>
      <c r="K94" s="41"/>
      <c r="L94" s="41"/>
      <c r="M94" s="41"/>
      <c r="N94" s="41"/>
    </row>
    <row r="95" spans="1:14" ht="20" customHeight="1" x14ac:dyDescent="0.2">
      <c r="A95" s="49"/>
      <c r="B95" s="53"/>
      <c r="C95" s="97"/>
      <c r="D95" s="97"/>
      <c r="E95" s="97"/>
      <c r="F95" s="97"/>
      <c r="G95" s="97"/>
      <c r="H95" s="50"/>
      <c r="K95" s="41"/>
      <c r="L95" s="41"/>
      <c r="M95" s="41"/>
      <c r="N95" s="41"/>
    </row>
    <row r="96" spans="1:14" ht="20" customHeight="1" x14ac:dyDescent="0.2">
      <c r="A96" s="45"/>
      <c r="B96" s="52"/>
      <c r="C96" s="96"/>
      <c r="D96" s="96"/>
      <c r="E96" s="96"/>
      <c r="F96" s="96"/>
      <c r="G96" s="96"/>
      <c r="H96" s="46"/>
      <c r="K96" s="41"/>
      <c r="L96" s="41"/>
      <c r="M96" s="41"/>
      <c r="N96" s="41"/>
    </row>
    <row r="97" spans="1:14" ht="20" customHeight="1" x14ac:dyDescent="0.2">
      <c r="A97" s="49"/>
      <c r="B97" s="53"/>
      <c r="C97" s="97"/>
      <c r="D97" s="97"/>
      <c r="E97" s="97"/>
      <c r="F97" s="97"/>
      <c r="G97" s="97"/>
      <c r="H97" s="50"/>
      <c r="K97" s="41"/>
      <c r="L97" s="41"/>
      <c r="M97" s="41"/>
      <c r="N97" s="41"/>
    </row>
    <row r="98" spans="1:14" ht="20" customHeight="1" x14ac:dyDescent="0.2">
      <c r="A98" s="45"/>
      <c r="B98" s="52"/>
      <c r="C98" s="96"/>
      <c r="D98" s="96"/>
      <c r="E98" s="96"/>
      <c r="F98" s="96"/>
      <c r="G98" s="96"/>
      <c r="H98" s="46"/>
      <c r="K98" s="41"/>
      <c r="L98" s="41"/>
      <c r="M98" s="41"/>
      <c r="N98" s="41"/>
    </row>
    <row r="99" spans="1:14" ht="20" customHeight="1" x14ac:dyDescent="0.2">
      <c r="A99" s="49"/>
      <c r="B99" s="53"/>
      <c r="C99" s="97"/>
      <c r="D99" s="97"/>
      <c r="E99" s="97"/>
      <c r="F99" s="97"/>
      <c r="G99" s="97"/>
      <c r="H99" s="50"/>
      <c r="K99" s="41"/>
      <c r="L99" s="41"/>
      <c r="M99" s="41"/>
      <c r="N99" s="41"/>
    </row>
    <row r="100" spans="1:14" ht="20" customHeight="1" x14ac:dyDescent="0.2">
      <c r="A100" s="45"/>
      <c r="B100" s="52"/>
      <c r="C100" s="96"/>
      <c r="D100" s="96"/>
      <c r="E100" s="96"/>
      <c r="F100" s="96"/>
      <c r="G100" s="96"/>
      <c r="H100" s="46"/>
      <c r="K100" s="41"/>
      <c r="L100" s="41"/>
      <c r="M100" s="41"/>
      <c r="N100" s="41"/>
    </row>
    <row r="101" spans="1:14" ht="20" customHeight="1" x14ac:dyDescent="0.2">
      <c r="A101" s="49"/>
      <c r="B101" s="53"/>
      <c r="C101" s="97"/>
      <c r="D101" s="97"/>
      <c r="E101" s="97"/>
      <c r="F101" s="97"/>
      <c r="G101" s="97"/>
      <c r="H101" s="50"/>
      <c r="K101" s="41"/>
      <c r="L101" s="41"/>
      <c r="M101" s="41"/>
      <c r="N101" s="41"/>
    </row>
    <row r="102" spans="1:14" ht="20" customHeight="1" x14ac:dyDescent="0.2">
      <c r="A102" s="45"/>
      <c r="B102" s="52"/>
      <c r="C102" s="96"/>
      <c r="D102" s="96"/>
      <c r="E102" s="96"/>
      <c r="F102" s="96"/>
      <c r="G102" s="96"/>
      <c r="H102" s="46"/>
      <c r="K102" s="41"/>
      <c r="L102" s="41"/>
      <c r="M102" s="41"/>
      <c r="N102" s="41"/>
    </row>
    <row r="103" spans="1:14" ht="20" customHeight="1" x14ac:dyDescent="0.2">
      <c r="A103" s="49"/>
      <c r="B103" s="53"/>
      <c r="C103" s="97"/>
      <c r="D103" s="97"/>
      <c r="E103" s="97"/>
      <c r="F103" s="97"/>
      <c r="G103" s="97"/>
      <c r="H103" s="50"/>
      <c r="K103" s="41"/>
      <c r="L103" s="41"/>
      <c r="M103" s="41"/>
      <c r="N103" s="41"/>
    </row>
    <row r="104" spans="1:14" ht="20" customHeight="1" x14ac:dyDescent="0.2">
      <c r="A104" s="45"/>
      <c r="B104" s="52"/>
      <c r="C104" s="96"/>
      <c r="D104" s="96"/>
      <c r="E104" s="96"/>
      <c r="F104" s="96"/>
      <c r="G104" s="96"/>
      <c r="H104" s="46"/>
      <c r="K104" s="41"/>
      <c r="L104" s="41"/>
      <c r="M104" s="41"/>
      <c r="N104" s="41"/>
    </row>
    <row r="105" spans="1:14" ht="20" customHeight="1" x14ac:dyDescent="0.2">
      <c r="A105" s="49"/>
      <c r="B105" s="53"/>
      <c r="C105" s="97"/>
      <c r="D105" s="97"/>
      <c r="E105" s="97"/>
      <c r="F105" s="97"/>
      <c r="G105" s="97"/>
      <c r="H105" s="50"/>
      <c r="K105" s="41"/>
      <c r="L105" s="41"/>
      <c r="M105" s="41"/>
      <c r="N105" s="41"/>
    </row>
    <row r="106" spans="1:14" ht="20" customHeight="1" x14ac:dyDescent="0.2">
      <c r="A106" s="45"/>
      <c r="B106" s="52"/>
      <c r="C106" s="96"/>
      <c r="D106" s="96"/>
      <c r="E106" s="96"/>
      <c r="F106" s="96"/>
      <c r="G106" s="96"/>
      <c r="H106" s="46"/>
      <c r="K106" s="41"/>
      <c r="L106" s="41"/>
      <c r="M106" s="41"/>
      <c r="N106" s="41"/>
    </row>
    <row r="107" spans="1:14" ht="20" customHeight="1" x14ac:dyDescent="0.2">
      <c r="A107" s="49"/>
      <c r="B107" s="53"/>
      <c r="C107" s="97"/>
      <c r="D107" s="97"/>
      <c r="E107" s="97"/>
      <c r="F107" s="97"/>
      <c r="G107" s="97"/>
      <c r="H107" s="50"/>
      <c r="K107" s="41"/>
      <c r="L107" s="41"/>
      <c r="M107" s="41"/>
      <c r="N107" s="41"/>
    </row>
    <row r="108" spans="1:14" ht="20" customHeight="1" x14ac:dyDescent="0.2">
      <c r="A108" s="45"/>
      <c r="B108" s="52"/>
      <c r="C108" s="96"/>
      <c r="D108" s="96"/>
      <c r="E108" s="96"/>
      <c r="F108" s="96"/>
      <c r="G108" s="96"/>
      <c r="H108" s="46"/>
      <c r="K108" s="41"/>
      <c r="L108" s="41"/>
      <c r="M108" s="41"/>
      <c r="N108" s="41"/>
    </row>
    <row r="109" spans="1:14" ht="20" customHeight="1" x14ac:dyDescent="0.2">
      <c r="A109" s="49"/>
      <c r="B109" s="53"/>
      <c r="C109" s="97"/>
      <c r="D109" s="97"/>
      <c r="E109" s="97"/>
      <c r="F109" s="97"/>
      <c r="G109" s="97"/>
      <c r="H109" s="50"/>
      <c r="K109" s="41"/>
      <c r="L109" s="41"/>
      <c r="M109" s="41"/>
      <c r="N109" s="41"/>
    </row>
    <row r="110" spans="1:14" ht="20" customHeight="1" x14ac:dyDescent="0.2">
      <c r="A110" s="45"/>
      <c r="B110" s="52"/>
      <c r="C110" s="96"/>
      <c r="D110" s="96"/>
      <c r="E110" s="96"/>
      <c r="F110" s="96"/>
      <c r="G110" s="96"/>
      <c r="H110" s="46"/>
      <c r="K110" s="41"/>
      <c r="L110" s="41"/>
      <c r="M110" s="41"/>
      <c r="N110" s="41"/>
    </row>
    <row r="111" spans="1:14" ht="20" customHeight="1" x14ac:dyDescent="0.2">
      <c r="A111" s="49"/>
      <c r="B111" s="53"/>
      <c r="C111" s="97"/>
      <c r="D111" s="97"/>
      <c r="E111" s="97"/>
      <c r="F111" s="97"/>
      <c r="G111" s="97"/>
      <c r="H111" s="50"/>
      <c r="K111" s="41"/>
      <c r="L111" s="41"/>
      <c r="M111" s="41"/>
      <c r="N111" s="41"/>
    </row>
    <row r="112" spans="1:14" ht="20" customHeight="1" x14ac:dyDescent="0.2">
      <c r="A112" s="45"/>
      <c r="B112" s="52"/>
      <c r="C112" s="96"/>
      <c r="D112" s="96"/>
      <c r="E112" s="96"/>
      <c r="F112" s="96"/>
      <c r="G112" s="96"/>
      <c r="H112" s="46"/>
      <c r="K112" s="41"/>
      <c r="L112" s="41"/>
      <c r="M112" s="41"/>
      <c r="N112" s="41"/>
    </row>
    <row r="113" spans="1:14" ht="20" customHeight="1" x14ac:dyDescent="0.2">
      <c r="A113" s="49"/>
      <c r="B113" s="53"/>
      <c r="C113" s="97"/>
      <c r="D113" s="97"/>
      <c r="E113" s="97"/>
      <c r="F113" s="97"/>
      <c r="G113" s="97"/>
      <c r="H113" s="50"/>
      <c r="K113" s="41"/>
      <c r="L113" s="41"/>
      <c r="M113" s="41"/>
      <c r="N113" s="41"/>
    </row>
    <row r="114" spans="1:14" ht="20" customHeight="1" x14ac:dyDescent="0.2">
      <c r="A114" s="45"/>
      <c r="B114" s="52"/>
      <c r="C114" s="96"/>
      <c r="D114" s="96"/>
      <c r="E114" s="96"/>
      <c r="F114" s="96"/>
      <c r="G114" s="96"/>
      <c r="H114" s="46"/>
      <c r="K114" s="41"/>
      <c r="L114" s="41"/>
      <c r="M114" s="41"/>
      <c r="N114" s="41"/>
    </row>
    <row r="115" spans="1:14" ht="20" customHeight="1" x14ac:dyDescent="0.2">
      <c r="A115" s="49"/>
      <c r="B115" s="53"/>
      <c r="C115" s="97"/>
      <c r="D115" s="97"/>
      <c r="E115" s="97"/>
      <c r="F115" s="97"/>
      <c r="G115" s="97"/>
      <c r="H115" s="50"/>
      <c r="K115" s="41"/>
      <c r="L115" s="41"/>
      <c r="M115" s="41"/>
      <c r="N115" s="41"/>
    </row>
    <row r="116" spans="1:14" ht="20" customHeight="1" x14ac:dyDescent="0.2">
      <c r="A116" s="45"/>
      <c r="B116" s="52"/>
      <c r="C116" s="96"/>
      <c r="D116" s="96"/>
      <c r="E116" s="96"/>
      <c r="F116" s="96"/>
      <c r="G116" s="96"/>
      <c r="H116" s="46"/>
      <c r="K116" s="41"/>
      <c r="L116" s="41"/>
      <c r="M116" s="41"/>
      <c r="N116" s="41"/>
    </row>
    <row r="117" spans="1:14" ht="20" customHeight="1" x14ac:dyDescent="0.2">
      <c r="A117" s="49"/>
      <c r="B117" s="53"/>
      <c r="C117" s="97"/>
      <c r="D117" s="97"/>
      <c r="E117" s="97"/>
      <c r="F117" s="97"/>
      <c r="G117" s="97"/>
      <c r="H117" s="50"/>
      <c r="K117" s="41"/>
      <c r="L117" s="41"/>
      <c r="M117" s="41"/>
      <c r="N117" s="41"/>
    </row>
    <row r="118" spans="1:14" ht="20" customHeight="1" x14ac:dyDescent="0.2">
      <c r="A118" s="45"/>
      <c r="B118" s="52"/>
      <c r="C118" s="96"/>
      <c r="D118" s="96"/>
      <c r="E118" s="96"/>
      <c r="F118" s="96"/>
      <c r="G118" s="96"/>
      <c r="H118" s="46"/>
      <c r="K118" s="41"/>
      <c r="L118" s="41"/>
      <c r="M118" s="41"/>
      <c r="N118" s="41"/>
    </row>
    <row r="119" spans="1:14" ht="20" customHeight="1" x14ac:dyDescent="0.2">
      <c r="A119" s="49"/>
      <c r="B119" s="53"/>
      <c r="C119" s="97"/>
      <c r="D119" s="97"/>
      <c r="E119" s="97"/>
      <c r="F119" s="97"/>
      <c r="G119" s="97"/>
      <c r="H119" s="50"/>
      <c r="K119" s="41"/>
      <c r="L119" s="41"/>
      <c r="M119" s="41"/>
      <c r="N119" s="41"/>
    </row>
    <row r="120" spans="1:14" ht="20" customHeight="1" x14ac:dyDescent="0.2">
      <c r="A120" s="45"/>
      <c r="B120" s="52"/>
      <c r="C120" s="96"/>
      <c r="D120" s="96"/>
      <c r="E120" s="96"/>
      <c r="F120" s="96"/>
      <c r="G120" s="96"/>
      <c r="H120" s="46"/>
      <c r="K120" s="41"/>
      <c r="L120" s="41"/>
      <c r="M120" s="41"/>
      <c r="N120" s="41"/>
    </row>
    <row r="121" spans="1:14" ht="20" customHeight="1" x14ac:dyDescent="0.2">
      <c r="A121" s="49"/>
      <c r="B121" s="53"/>
      <c r="C121" s="97"/>
      <c r="D121" s="97"/>
      <c r="E121" s="97"/>
      <c r="F121" s="97"/>
      <c r="G121" s="97"/>
      <c r="H121" s="50"/>
    </row>
    <row r="122" spans="1:14" ht="20" customHeight="1" x14ac:dyDescent="0.2">
      <c r="A122" s="45"/>
      <c r="B122" s="52"/>
      <c r="C122" s="96"/>
      <c r="D122" s="96"/>
      <c r="E122" s="96"/>
      <c r="F122" s="96"/>
      <c r="G122" s="96"/>
      <c r="H122" s="46"/>
    </row>
    <row r="123" spans="1:14" ht="20" customHeight="1" x14ac:dyDescent="0.2">
      <c r="A123" s="49"/>
      <c r="B123" s="53"/>
      <c r="C123" s="97"/>
      <c r="D123" s="97"/>
      <c r="E123" s="97"/>
      <c r="F123" s="97"/>
      <c r="G123" s="97"/>
      <c r="H123" s="50"/>
    </row>
    <row r="124" spans="1:14" ht="20" customHeight="1" x14ac:dyDescent="0.2">
      <c r="A124" s="45"/>
      <c r="B124" s="52"/>
      <c r="C124" s="96"/>
      <c r="D124" s="96"/>
      <c r="E124" s="96"/>
      <c r="F124" s="96"/>
      <c r="G124" s="96"/>
      <c r="H124" s="46"/>
    </row>
    <row r="125" spans="1:14" ht="20" customHeight="1" x14ac:dyDescent="0.2">
      <c r="A125" s="49"/>
      <c r="B125" s="53"/>
      <c r="C125" s="97"/>
      <c r="D125" s="97"/>
      <c r="E125" s="97"/>
      <c r="F125" s="97"/>
      <c r="G125" s="97"/>
      <c r="H125" s="50"/>
    </row>
    <row r="126" spans="1:14" ht="20" customHeight="1" x14ac:dyDescent="0.2">
      <c r="A126" s="45"/>
      <c r="B126" s="52"/>
      <c r="C126" s="96"/>
      <c r="D126" s="96"/>
      <c r="E126" s="96"/>
      <c r="F126" s="96"/>
      <c r="G126" s="96"/>
      <c r="H126" s="46"/>
    </row>
    <row r="127" spans="1:14" ht="20" customHeight="1" x14ac:dyDescent="0.2">
      <c r="A127" s="49"/>
      <c r="B127" s="53"/>
      <c r="C127" s="97"/>
      <c r="D127" s="97"/>
      <c r="E127" s="97"/>
      <c r="F127" s="97"/>
      <c r="G127" s="97"/>
      <c r="H127" s="50"/>
    </row>
    <row r="128" spans="1:14" ht="20" customHeight="1" x14ac:dyDescent="0.2">
      <c r="A128" s="45"/>
      <c r="B128" s="52"/>
      <c r="C128" s="96"/>
      <c r="D128" s="96"/>
      <c r="E128" s="96"/>
      <c r="F128" s="96"/>
      <c r="G128" s="96"/>
      <c r="H128" s="46"/>
    </row>
    <row r="129" spans="1:8" ht="20" customHeight="1" x14ac:dyDescent="0.2">
      <c r="A129" s="49"/>
      <c r="B129" s="53"/>
      <c r="C129" s="97"/>
      <c r="D129" s="97"/>
      <c r="E129" s="97"/>
      <c r="F129" s="97"/>
      <c r="G129" s="97"/>
      <c r="H129" s="50"/>
    </row>
    <row r="130" spans="1:8" ht="20" customHeight="1" x14ac:dyDescent="0.2">
      <c r="A130" s="45"/>
      <c r="B130" s="52"/>
      <c r="C130" s="96"/>
      <c r="D130" s="96"/>
      <c r="E130" s="96"/>
      <c r="F130" s="96"/>
      <c r="G130" s="96"/>
      <c r="H130" s="46"/>
    </row>
    <row r="131" spans="1:8" ht="20" customHeight="1" x14ac:dyDescent="0.2">
      <c r="A131" s="49"/>
      <c r="B131" s="53"/>
      <c r="C131" s="97"/>
      <c r="D131" s="97"/>
      <c r="E131" s="97"/>
      <c r="F131" s="97"/>
      <c r="G131" s="97"/>
      <c r="H131" s="50"/>
    </row>
    <row r="132" spans="1:8" ht="20" customHeight="1" x14ac:dyDescent="0.2">
      <c r="A132" s="45"/>
      <c r="B132" s="52"/>
      <c r="C132" s="96"/>
      <c r="D132" s="96"/>
      <c r="E132" s="96"/>
      <c r="F132" s="96"/>
      <c r="G132" s="96"/>
      <c r="H132" s="46"/>
    </row>
    <row r="133" spans="1:8" ht="20" customHeight="1" x14ac:dyDescent="0.2">
      <c r="A133" s="49"/>
      <c r="B133" s="53"/>
      <c r="C133" s="97"/>
      <c r="D133" s="97"/>
      <c r="E133" s="97"/>
      <c r="F133" s="97"/>
      <c r="G133" s="97"/>
      <c r="H133" s="50"/>
    </row>
    <row r="134" spans="1:8" ht="20" customHeight="1" x14ac:dyDescent="0.2">
      <c r="A134" s="45"/>
      <c r="B134" s="52"/>
      <c r="C134" s="96"/>
      <c r="D134" s="96"/>
      <c r="E134" s="96"/>
      <c r="F134" s="96"/>
      <c r="G134" s="96"/>
      <c r="H134" s="46"/>
    </row>
    <row r="135" spans="1:8" ht="20" customHeight="1" x14ac:dyDescent="0.2">
      <c r="A135" s="49"/>
      <c r="B135" s="53"/>
      <c r="C135" s="97"/>
      <c r="D135" s="97"/>
      <c r="E135" s="97"/>
      <c r="F135" s="97"/>
      <c r="G135" s="97"/>
      <c r="H135" s="50"/>
    </row>
    <row r="136" spans="1:8" ht="20" customHeight="1" x14ac:dyDescent="0.2">
      <c r="A136" s="45"/>
      <c r="B136" s="52"/>
      <c r="C136" s="96"/>
      <c r="D136" s="96"/>
      <c r="E136" s="96"/>
      <c r="F136" s="96"/>
      <c r="G136" s="96"/>
      <c r="H136" s="46"/>
    </row>
    <row r="137" spans="1:8" ht="20" customHeight="1" x14ac:dyDescent="0.2">
      <c r="A137" s="49"/>
      <c r="B137" s="53"/>
      <c r="C137" s="97"/>
      <c r="D137" s="97"/>
      <c r="E137" s="97"/>
      <c r="F137" s="97"/>
      <c r="G137" s="97"/>
      <c r="H137" s="50"/>
    </row>
    <row r="138" spans="1:8" ht="20" customHeight="1" x14ac:dyDescent="0.2">
      <c r="A138" s="45"/>
      <c r="B138" s="52"/>
      <c r="C138" s="96"/>
      <c r="D138" s="96"/>
      <c r="E138" s="96"/>
      <c r="F138" s="96"/>
      <c r="G138" s="96"/>
      <c r="H138" s="46"/>
    </row>
    <row r="139" spans="1:8" ht="20" customHeight="1" x14ac:dyDescent="0.2">
      <c r="A139" s="49"/>
      <c r="B139" s="53"/>
      <c r="C139" s="97"/>
      <c r="D139" s="97"/>
      <c r="E139" s="97"/>
      <c r="F139" s="97"/>
      <c r="G139" s="97"/>
      <c r="H139" s="50"/>
    </row>
    <row r="140" spans="1:8" ht="20" customHeight="1" x14ac:dyDescent="0.2">
      <c r="A140" s="45"/>
      <c r="B140" s="52"/>
      <c r="C140" s="96"/>
      <c r="D140" s="96"/>
      <c r="E140" s="96"/>
      <c r="F140" s="96"/>
      <c r="G140" s="96"/>
      <c r="H140" s="46"/>
    </row>
    <row r="141" spans="1:8" ht="20" customHeight="1" x14ac:dyDescent="0.2">
      <c r="A141" s="49"/>
      <c r="B141" s="53"/>
      <c r="C141" s="97"/>
      <c r="D141" s="97"/>
      <c r="E141" s="97"/>
      <c r="F141" s="97"/>
      <c r="G141" s="97"/>
      <c r="H141" s="50"/>
    </row>
    <row r="142" spans="1:8" ht="20" customHeight="1" x14ac:dyDescent="0.2">
      <c r="A142" s="45"/>
      <c r="B142" s="52"/>
      <c r="C142" s="96"/>
      <c r="D142" s="96"/>
      <c r="E142" s="96"/>
      <c r="F142" s="96"/>
      <c r="G142" s="96"/>
      <c r="H142" s="46"/>
    </row>
    <row r="143" spans="1:8" ht="20" customHeight="1" x14ac:dyDescent="0.2">
      <c r="A143" s="49"/>
      <c r="B143" s="53"/>
      <c r="C143" s="97"/>
      <c r="D143" s="97"/>
      <c r="E143" s="97"/>
      <c r="F143" s="97"/>
      <c r="G143" s="97"/>
      <c r="H143" s="50"/>
    </row>
    <row r="144" spans="1:8" ht="20" customHeight="1" x14ac:dyDescent="0.2">
      <c r="A144" s="45"/>
      <c r="B144" s="52"/>
      <c r="C144" s="96"/>
      <c r="D144" s="96"/>
      <c r="E144" s="96"/>
      <c r="F144" s="96"/>
      <c r="G144" s="96"/>
      <c r="H144" s="46"/>
    </row>
    <row r="145" spans="1:8" ht="20" customHeight="1" x14ac:dyDescent="0.2">
      <c r="A145" s="49"/>
      <c r="B145" s="53"/>
      <c r="C145" s="97"/>
      <c r="D145" s="97"/>
      <c r="E145" s="97"/>
      <c r="F145" s="97"/>
      <c r="G145" s="97"/>
      <c r="H145" s="50"/>
    </row>
    <row r="146" spans="1:8" ht="20" customHeight="1" x14ac:dyDescent="0.2">
      <c r="A146" s="45"/>
      <c r="B146" s="52"/>
      <c r="C146" s="96"/>
      <c r="D146" s="96"/>
      <c r="E146" s="96"/>
      <c r="F146" s="96"/>
      <c r="G146" s="96"/>
      <c r="H146" s="46"/>
    </row>
    <row r="147" spans="1:8" ht="20" customHeight="1" x14ac:dyDescent="0.2">
      <c r="A147" s="49"/>
      <c r="B147" s="53"/>
      <c r="C147" s="97"/>
      <c r="D147" s="97"/>
      <c r="E147" s="97"/>
      <c r="F147" s="97"/>
      <c r="G147" s="97"/>
      <c r="H147" s="50"/>
    </row>
    <row r="148" spans="1:8" ht="20" customHeight="1" x14ac:dyDescent="0.2">
      <c r="A148" s="45"/>
      <c r="B148" s="52"/>
      <c r="C148" s="96"/>
      <c r="D148" s="96"/>
      <c r="E148" s="96"/>
      <c r="F148" s="96"/>
      <c r="G148" s="96"/>
      <c r="H148" s="46"/>
    </row>
    <row r="149" spans="1:8" ht="20" customHeight="1" x14ac:dyDescent="0.2">
      <c r="A149" s="49"/>
      <c r="B149" s="53"/>
      <c r="C149" s="97"/>
      <c r="D149" s="97"/>
      <c r="E149" s="97"/>
      <c r="F149" s="97"/>
      <c r="G149" s="97"/>
      <c r="H149" s="50"/>
    </row>
    <row r="150" spans="1:8" ht="20" customHeight="1" x14ac:dyDescent="0.2">
      <c r="A150"/>
      <c r="B150"/>
      <c r="C150"/>
      <c r="D150"/>
      <c r="E150"/>
      <c r="F150"/>
      <c r="G150"/>
      <c r="H150"/>
    </row>
    <row r="151" spans="1:8" ht="20" customHeight="1" x14ac:dyDescent="0.2">
      <c r="A151"/>
      <c r="B151"/>
      <c r="C151"/>
      <c r="D151"/>
      <c r="E151"/>
      <c r="F151"/>
      <c r="G151"/>
      <c r="H151"/>
    </row>
    <row r="152" spans="1:8" ht="20" customHeight="1" x14ac:dyDescent="0.2">
      <c r="A152"/>
      <c r="B152"/>
      <c r="C152"/>
      <c r="D152"/>
      <c r="E152"/>
      <c r="F152"/>
      <c r="G152"/>
      <c r="H152"/>
    </row>
    <row r="153" spans="1:8" ht="20" customHeight="1" x14ac:dyDescent="0.2">
      <c r="A153"/>
      <c r="B153"/>
      <c r="C153"/>
      <c r="D153"/>
      <c r="E153"/>
      <c r="F153"/>
      <c r="G153"/>
      <c r="H153"/>
    </row>
    <row r="154" spans="1:8" ht="20" customHeight="1" x14ac:dyDescent="0.2">
      <c r="A154"/>
      <c r="B154"/>
      <c r="C154"/>
      <c r="D154"/>
      <c r="E154"/>
      <c r="F154"/>
      <c r="G154"/>
      <c r="H154"/>
    </row>
    <row r="155" spans="1:8" ht="20" customHeight="1" x14ac:dyDescent="0.2">
      <c r="A155"/>
      <c r="B155"/>
      <c r="C155"/>
      <c r="D155"/>
      <c r="E155"/>
      <c r="F155"/>
      <c r="G155"/>
      <c r="H155"/>
    </row>
    <row r="156" spans="1:8" ht="20" customHeight="1" x14ac:dyDescent="0.2">
      <c r="A156"/>
      <c r="B156"/>
      <c r="C156"/>
      <c r="D156"/>
      <c r="E156"/>
      <c r="F156"/>
      <c r="G156"/>
      <c r="H156"/>
    </row>
    <row r="157" spans="1:8" ht="20" customHeight="1" x14ac:dyDescent="0.2">
      <c r="A157"/>
      <c r="B157"/>
      <c r="C157"/>
      <c r="D157"/>
      <c r="E157"/>
      <c r="F157"/>
      <c r="G157"/>
      <c r="H157"/>
    </row>
    <row r="158" spans="1:8" ht="20" customHeight="1" x14ac:dyDescent="0.2">
      <c r="A158"/>
      <c r="B158"/>
      <c r="C158"/>
      <c r="D158"/>
      <c r="E158"/>
      <c r="F158"/>
      <c r="G158"/>
      <c r="H158"/>
    </row>
    <row r="159" spans="1:8" ht="20" customHeight="1" x14ac:dyDescent="0.2">
      <c r="A159"/>
      <c r="B159"/>
      <c r="C159"/>
      <c r="D159"/>
      <c r="E159"/>
      <c r="F159"/>
      <c r="G159"/>
      <c r="H159"/>
    </row>
    <row r="160" spans="1:8" ht="20" customHeight="1" x14ac:dyDescent="0.2">
      <c r="A160"/>
      <c r="B160"/>
      <c r="C160"/>
      <c r="D160"/>
      <c r="E160"/>
      <c r="F160"/>
      <c r="G160"/>
      <c r="H160"/>
    </row>
    <row r="161" spans="1:8" ht="20" customHeight="1" x14ac:dyDescent="0.2">
      <c r="A161"/>
      <c r="B161"/>
      <c r="C161"/>
      <c r="D161"/>
      <c r="E161"/>
      <c r="F161"/>
      <c r="G161"/>
      <c r="H161"/>
    </row>
    <row r="162" spans="1:8" ht="20" customHeight="1" x14ac:dyDescent="0.2">
      <c r="A162"/>
      <c r="B162"/>
      <c r="C162"/>
      <c r="D162"/>
      <c r="E162"/>
      <c r="F162"/>
      <c r="G162"/>
      <c r="H162"/>
    </row>
    <row r="163" spans="1:8" ht="20" customHeight="1" x14ac:dyDescent="0.2">
      <c r="A163"/>
      <c r="B163"/>
      <c r="C163"/>
      <c r="D163"/>
      <c r="E163"/>
      <c r="F163"/>
      <c r="G163"/>
      <c r="H163"/>
    </row>
    <row r="164" spans="1:8" ht="20" customHeight="1" x14ac:dyDescent="0.2">
      <c r="A164"/>
      <c r="B164"/>
      <c r="C164"/>
      <c r="D164"/>
      <c r="E164"/>
      <c r="F164"/>
      <c r="G164"/>
      <c r="H164"/>
    </row>
    <row r="165" spans="1:8" ht="20" customHeight="1" x14ac:dyDescent="0.2">
      <c r="A165"/>
      <c r="B165"/>
      <c r="C165"/>
      <c r="D165"/>
      <c r="E165"/>
      <c r="F165"/>
      <c r="G165"/>
      <c r="H165"/>
    </row>
    <row r="166" spans="1:8" ht="20" customHeight="1" x14ac:dyDescent="0.2">
      <c r="A166"/>
      <c r="B166"/>
      <c r="C166"/>
      <c r="D166"/>
      <c r="E166"/>
      <c r="F166"/>
      <c r="G166"/>
      <c r="H166"/>
    </row>
    <row r="167" spans="1:8" ht="20" customHeight="1" x14ac:dyDescent="0.2">
      <c r="A167"/>
      <c r="B167"/>
      <c r="C167"/>
      <c r="D167"/>
      <c r="E167"/>
      <c r="F167"/>
      <c r="G167"/>
      <c r="H167"/>
    </row>
    <row r="168" spans="1:8" ht="20" customHeight="1" x14ac:dyDescent="0.2">
      <c r="A168"/>
      <c r="B168"/>
      <c r="C168"/>
      <c r="D168"/>
      <c r="E168"/>
      <c r="F168"/>
      <c r="G168"/>
      <c r="H168"/>
    </row>
    <row r="169" spans="1:8" ht="20" customHeight="1" x14ac:dyDescent="0.2">
      <c r="A169"/>
      <c r="B169"/>
      <c r="C169"/>
      <c r="D169"/>
      <c r="E169"/>
      <c r="F169"/>
      <c r="G169"/>
      <c r="H169"/>
    </row>
    <row r="170" spans="1:8" ht="20" customHeight="1" x14ac:dyDescent="0.2">
      <c r="A170"/>
      <c r="B170"/>
      <c r="C170"/>
      <c r="D170"/>
      <c r="E170"/>
      <c r="F170"/>
      <c r="G170"/>
      <c r="H170"/>
    </row>
    <row r="171" spans="1:8" ht="20" customHeight="1" x14ac:dyDescent="0.2">
      <c r="A171"/>
      <c r="B171"/>
      <c r="C171"/>
      <c r="D171"/>
      <c r="E171"/>
      <c r="F171"/>
      <c r="G171"/>
      <c r="H171"/>
    </row>
    <row r="172" spans="1:8" ht="20" customHeight="1" x14ac:dyDescent="0.2">
      <c r="A172"/>
      <c r="B172"/>
      <c r="C172"/>
      <c r="D172"/>
      <c r="E172"/>
      <c r="F172"/>
      <c r="G172"/>
      <c r="H172"/>
    </row>
    <row r="173" spans="1:8" ht="20" customHeight="1" x14ac:dyDescent="0.2">
      <c r="A173"/>
      <c r="B173"/>
      <c r="C173"/>
      <c r="D173"/>
      <c r="E173"/>
      <c r="F173"/>
      <c r="G173"/>
      <c r="H173"/>
    </row>
    <row r="174" spans="1:8" ht="20" customHeight="1" x14ac:dyDescent="0.2">
      <c r="A174"/>
      <c r="B174"/>
      <c r="C174"/>
      <c r="D174"/>
      <c r="E174"/>
      <c r="F174"/>
      <c r="G174"/>
      <c r="H174"/>
    </row>
    <row r="175" spans="1:8" ht="20" customHeight="1" x14ac:dyDescent="0.2">
      <c r="A175"/>
      <c r="B175"/>
      <c r="C175"/>
      <c r="D175"/>
      <c r="E175"/>
      <c r="F175"/>
      <c r="G175"/>
      <c r="H175"/>
    </row>
    <row r="176" spans="1:8" ht="20" customHeight="1" x14ac:dyDescent="0.2">
      <c r="A176"/>
      <c r="B176"/>
      <c r="C176"/>
      <c r="D176"/>
      <c r="E176"/>
      <c r="F176"/>
      <c r="G176"/>
      <c r="H176"/>
    </row>
    <row r="177" spans="1:8" ht="20" customHeight="1" x14ac:dyDescent="0.2">
      <c r="A177"/>
      <c r="B177"/>
      <c r="C177"/>
      <c r="D177"/>
      <c r="E177"/>
      <c r="F177"/>
      <c r="G177"/>
      <c r="H177"/>
    </row>
    <row r="178" spans="1:8" ht="20" customHeight="1" x14ac:dyDescent="0.2">
      <c r="A178"/>
      <c r="B178"/>
      <c r="C178"/>
      <c r="D178"/>
      <c r="E178"/>
      <c r="F178"/>
      <c r="G178"/>
      <c r="H178"/>
    </row>
    <row r="179" spans="1:8" ht="20" customHeight="1" x14ac:dyDescent="0.2">
      <c r="A179"/>
      <c r="B179"/>
      <c r="C179"/>
      <c r="D179"/>
      <c r="E179"/>
      <c r="F179"/>
      <c r="G179"/>
      <c r="H179"/>
    </row>
    <row r="180" spans="1:8" ht="20" customHeight="1" x14ac:dyDescent="0.2">
      <c r="A180"/>
      <c r="B180"/>
      <c r="C180"/>
      <c r="D180"/>
      <c r="E180"/>
      <c r="F180"/>
      <c r="G180"/>
      <c r="H180"/>
    </row>
    <row r="181" spans="1:8" ht="20" customHeight="1" x14ac:dyDescent="0.2">
      <c r="A181"/>
      <c r="B181"/>
      <c r="C181"/>
      <c r="D181"/>
      <c r="E181"/>
      <c r="F181"/>
      <c r="G181"/>
      <c r="H181"/>
    </row>
    <row r="182" spans="1:8" ht="20" customHeight="1" x14ac:dyDescent="0.2">
      <c r="A182"/>
      <c r="B182"/>
      <c r="C182"/>
      <c r="D182"/>
      <c r="E182"/>
      <c r="F182"/>
      <c r="G182"/>
      <c r="H182"/>
    </row>
    <row r="183" spans="1:8" ht="20" customHeight="1" x14ac:dyDescent="0.2">
      <c r="A183"/>
      <c r="B183"/>
      <c r="C183"/>
      <c r="D183"/>
      <c r="E183"/>
      <c r="F183"/>
      <c r="G183"/>
      <c r="H183"/>
    </row>
    <row r="184" spans="1:8" ht="20" customHeight="1" x14ac:dyDescent="0.2">
      <c r="A184"/>
      <c r="B184"/>
      <c r="C184"/>
      <c r="D184"/>
      <c r="E184"/>
      <c r="F184"/>
      <c r="G184"/>
      <c r="H184"/>
    </row>
    <row r="185" spans="1:8" ht="20" customHeight="1" x14ac:dyDescent="0.2">
      <c r="A185"/>
      <c r="B185"/>
      <c r="C185"/>
      <c r="D185"/>
      <c r="E185"/>
      <c r="F185"/>
      <c r="G185"/>
      <c r="H185"/>
    </row>
    <row r="186" spans="1:8" ht="20" customHeight="1" x14ac:dyDescent="0.2">
      <c r="A186"/>
      <c r="B186"/>
      <c r="C186"/>
      <c r="D186"/>
      <c r="E186"/>
      <c r="F186"/>
      <c r="G186"/>
      <c r="H186"/>
    </row>
    <row r="187" spans="1:8" ht="20" customHeight="1" x14ac:dyDescent="0.2">
      <c r="A187"/>
      <c r="B187"/>
      <c r="C187"/>
      <c r="D187"/>
      <c r="E187"/>
      <c r="F187"/>
      <c r="G187"/>
      <c r="H187"/>
    </row>
    <row r="188" spans="1:8" ht="20" customHeight="1" x14ac:dyDescent="0.2">
      <c r="A188"/>
      <c r="B188"/>
      <c r="C188"/>
      <c r="D188"/>
      <c r="E188"/>
      <c r="F188"/>
      <c r="G188"/>
      <c r="H188"/>
    </row>
    <row r="189" spans="1:8" ht="20" customHeight="1" x14ac:dyDescent="0.2">
      <c r="A189"/>
      <c r="B189"/>
      <c r="C189"/>
      <c r="D189"/>
      <c r="E189"/>
      <c r="F189"/>
      <c r="G189"/>
      <c r="H189"/>
    </row>
    <row r="190" spans="1:8" ht="20" customHeight="1" x14ac:dyDescent="0.2">
      <c r="A190"/>
      <c r="B190"/>
      <c r="C190"/>
      <c r="D190"/>
      <c r="E190"/>
      <c r="F190"/>
      <c r="G190"/>
      <c r="H190"/>
    </row>
    <row r="191" spans="1:8" ht="20" customHeight="1" x14ac:dyDescent="0.2">
      <c r="A191"/>
      <c r="B191"/>
      <c r="C191"/>
      <c r="D191"/>
      <c r="E191"/>
      <c r="F191"/>
      <c r="G191"/>
      <c r="H191"/>
    </row>
    <row r="192" spans="1:8" ht="20" customHeight="1" x14ac:dyDescent="0.2">
      <c r="A192"/>
      <c r="B192"/>
      <c r="C192"/>
      <c r="D192"/>
      <c r="E192"/>
      <c r="F192"/>
      <c r="G192"/>
      <c r="H192"/>
    </row>
    <row r="193" spans="1:8" ht="20" customHeight="1" x14ac:dyDescent="0.2">
      <c r="A193"/>
      <c r="B193"/>
      <c r="C193"/>
      <c r="D193"/>
      <c r="E193"/>
      <c r="F193"/>
      <c r="G193"/>
      <c r="H193"/>
    </row>
    <row r="194" spans="1:8" ht="20" customHeight="1" x14ac:dyDescent="0.2">
      <c r="A194"/>
      <c r="B194"/>
      <c r="C194"/>
      <c r="D194"/>
      <c r="E194"/>
      <c r="F194"/>
      <c r="G194"/>
      <c r="H194"/>
    </row>
    <row r="195" spans="1:8" ht="20" customHeight="1" x14ac:dyDescent="0.2">
      <c r="A195"/>
      <c r="B195"/>
      <c r="C195"/>
      <c r="D195"/>
      <c r="E195"/>
      <c r="F195"/>
      <c r="G195"/>
      <c r="H195"/>
    </row>
    <row r="196" spans="1:8" ht="20" customHeight="1" x14ac:dyDescent="0.2">
      <c r="A196"/>
      <c r="B196"/>
      <c r="C196"/>
      <c r="D196"/>
      <c r="E196"/>
      <c r="F196"/>
      <c r="G196"/>
      <c r="H196"/>
    </row>
    <row r="197" spans="1:8" ht="20" customHeight="1" x14ac:dyDescent="0.2">
      <c r="A197"/>
      <c r="B197"/>
      <c r="C197"/>
      <c r="D197"/>
      <c r="E197"/>
      <c r="F197"/>
      <c r="G197"/>
      <c r="H197"/>
    </row>
    <row r="198" spans="1:8" ht="20" customHeight="1" x14ac:dyDescent="0.2">
      <c r="A198"/>
      <c r="B198"/>
      <c r="C198"/>
      <c r="D198"/>
      <c r="E198"/>
      <c r="F198"/>
      <c r="G198"/>
      <c r="H198"/>
    </row>
    <row r="199" spans="1:8" ht="20" customHeight="1" x14ac:dyDescent="0.2">
      <c r="A199"/>
      <c r="B199"/>
      <c r="C199"/>
      <c r="D199"/>
      <c r="E199"/>
      <c r="F199"/>
      <c r="G199"/>
      <c r="H199"/>
    </row>
    <row r="200" spans="1:8" ht="20" customHeight="1" x14ac:dyDescent="0.2">
      <c r="A200"/>
      <c r="B200"/>
      <c r="C200"/>
      <c r="D200"/>
      <c r="E200"/>
      <c r="F200"/>
      <c r="G200"/>
      <c r="H200"/>
    </row>
    <row r="201" spans="1:8" ht="20" customHeight="1" x14ac:dyDescent="0.2">
      <c r="A201"/>
      <c r="B201"/>
      <c r="C201"/>
      <c r="D201"/>
      <c r="E201"/>
      <c r="F201"/>
      <c r="G201"/>
      <c r="H201"/>
    </row>
    <row r="202" spans="1:8" ht="20" customHeight="1" x14ac:dyDescent="0.2">
      <c r="A202"/>
      <c r="B202"/>
      <c r="C202"/>
      <c r="D202"/>
      <c r="E202"/>
      <c r="F202"/>
      <c r="G202"/>
      <c r="H202"/>
    </row>
    <row r="203" spans="1:8" ht="20" customHeight="1" x14ac:dyDescent="0.2">
      <c r="A203"/>
      <c r="B203"/>
      <c r="C203"/>
      <c r="D203"/>
      <c r="E203"/>
      <c r="F203"/>
      <c r="G203"/>
      <c r="H203"/>
    </row>
    <row r="204" spans="1:8" ht="20" customHeight="1" x14ac:dyDescent="0.2">
      <c r="A204"/>
      <c r="B204"/>
      <c r="C204"/>
      <c r="D204"/>
      <c r="E204"/>
      <c r="F204"/>
      <c r="G204"/>
      <c r="H204"/>
    </row>
    <row r="205" spans="1:8" ht="20" customHeight="1" x14ac:dyDescent="0.2">
      <c r="A205"/>
      <c r="B205"/>
      <c r="C205"/>
      <c r="D205"/>
      <c r="E205"/>
      <c r="F205"/>
      <c r="G205"/>
      <c r="H205"/>
    </row>
    <row r="206" spans="1:8" ht="20" customHeight="1" x14ac:dyDescent="0.2">
      <c r="A206"/>
      <c r="B206"/>
      <c r="C206"/>
      <c r="D206"/>
      <c r="E206"/>
      <c r="F206"/>
      <c r="G206"/>
      <c r="H206"/>
    </row>
    <row r="207" spans="1:8" ht="20" customHeight="1" x14ac:dyDescent="0.2">
      <c r="A207"/>
      <c r="B207"/>
      <c r="C207"/>
      <c r="D207"/>
      <c r="E207"/>
      <c r="F207"/>
      <c r="G207"/>
      <c r="H207"/>
    </row>
    <row r="208" spans="1:8" ht="20" customHeight="1" x14ac:dyDescent="0.2">
      <c r="A208"/>
      <c r="B208"/>
      <c r="C208"/>
      <c r="D208"/>
      <c r="E208"/>
      <c r="F208"/>
      <c r="G208"/>
      <c r="H208"/>
    </row>
    <row r="209" spans="1:8" ht="20" customHeight="1" x14ac:dyDescent="0.2">
      <c r="A209"/>
      <c r="B209"/>
      <c r="C209"/>
      <c r="D209"/>
      <c r="E209"/>
      <c r="F209"/>
      <c r="G209"/>
      <c r="H209"/>
    </row>
    <row r="210" spans="1:8" ht="20" customHeight="1" x14ac:dyDescent="0.2">
      <c r="A210"/>
      <c r="B210"/>
      <c r="C210"/>
      <c r="D210"/>
      <c r="E210"/>
      <c r="F210"/>
      <c r="G210"/>
      <c r="H210"/>
    </row>
    <row r="211" spans="1:8" ht="20" customHeight="1" x14ac:dyDescent="0.2">
      <c r="A211"/>
      <c r="B211"/>
      <c r="C211"/>
      <c r="D211"/>
      <c r="E211"/>
      <c r="F211"/>
      <c r="G211"/>
      <c r="H211"/>
    </row>
    <row r="212" spans="1:8" ht="20" customHeight="1" x14ac:dyDescent="0.2">
      <c r="A212"/>
      <c r="B212"/>
      <c r="C212"/>
      <c r="D212"/>
      <c r="E212"/>
      <c r="F212"/>
      <c r="G212"/>
      <c r="H212"/>
    </row>
    <row r="213" spans="1:8" ht="20" customHeight="1" x14ac:dyDescent="0.2">
      <c r="A213"/>
      <c r="B213"/>
      <c r="C213"/>
      <c r="D213"/>
      <c r="E213"/>
      <c r="F213"/>
      <c r="G213"/>
      <c r="H213"/>
    </row>
    <row r="214" spans="1:8" ht="20" customHeight="1" x14ac:dyDescent="0.2">
      <c r="A214"/>
      <c r="B214"/>
      <c r="C214"/>
      <c r="D214"/>
      <c r="E214"/>
      <c r="F214"/>
      <c r="G214"/>
      <c r="H214"/>
    </row>
    <row r="215" spans="1:8" ht="20" customHeight="1" x14ac:dyDescent="0.2">
      <c r="A215"/>
      <c r="B215"/>
      <c r="C215"/>
      <c r="D215"/>
      <c r="E215"/>
      <c r="F215"/>
      <c r="G215"/>
      <c r="H215"/>
    </row>
  </sheetData>
  <sheetProtection formatCells="0" formatColumns="0" formatRows="0" insertColumns="0" insertRows="0" autoFilter="0"/>
  <autoFilter ref="A6:H198" xr:uid="{00000000-0001-0000-0C00-000000000000}"/>
  <mergeCells count="2">
    <mergeCell ref="B4:H4"/>
    <mergeCell ref="B5:H5"/>
  </mergeCells>
  <pageMargins left="0.70866141732283472" right="0.70866141732283472" top="0.74803149606299213" bottom="0.74803149606299213" header="0.31496062992125984" footer="0.31496062992125984"/>
  <pageSetup paperSize="9" orientation="landscape"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4A404-E292-AE4F-962C-0C815DDC8DBD}">
  <dimension ref="B1:O26"/>
  <sheetViews>
    <sheetView showGridLines="0" zoomScale="90" zoomScaleNormal="90" workbookViewId="0"/>
  </sheetViews>
  <sheetFormatPr baseColWidth="10" defaultColWidth="10.83203125" defaultRowHeight="16" x14ac:dyDescent="0.2"/>
  <cols>
    <col min="1" max="1" width="3.83203125" style="1" customWidth="1"/>
    <col min="2" max="2" width="18.6640625" style="1" customWidth="1"/>
    <col min="3" max="3" width="18.5" style="1" customWidth="1"/>
    <col min="4" max="4" width="18.5" style="8" customWidth="1"/>
    <col min="5" max="8" width="18.33203125" style="8" customWidth="1"/>
    <col min="9" max="15" width="12.6640625" style="1" customWidth="1"/>
    <col min="16" max="16384" width="10.83203125" style="1"/>
  </cols>
  <sheetData>
    <row r="1" spans="2:15" ht="72" customHeight="1" x14ac:dyDescent="0.2">
      <c r="D1" s="32"/>
      <c r="E1" s="32"/>
      <c r="F1" s="42"/>
      <c r="G1" s="42" t="s">
        <v>134</v>
      </c>
      <c r="H1" s="66"/>
      <c r="I1" s="66"/>
    </row>
    <row r="2" spans="2:15" ht="40" customHeight="1" x14ac:dyDescent="0.2">
      <c r="B2" s="14"/>
      <c r="C2" s="14"/>
      <c r="D2" s="14"/>
      <c r="E2" s="14"/>
      <c r="F2" s="14"/>
      <c r="G2" s="14"/>
      <c r="H2" s="14"/>
    </row>
    <row r="3" spans="2:15" ht="20" customHeight="1" x14ac:dyDescent="0.2">
      <c r="B3" s="14"/>
      <c r="C3" s="14"/>
      <c r="D3" s="14"/>
      <c r="E3" s="14"/>
      <c r="F3" s="14"/>
      <c r="G3" s="14"/>
      <c r="H3" s="14"/>
    </row>
    <row r="4" spans="2:15" ht="26" customHeight="1" x14ac:dyDescent="0.2">
      <c r="B4" s="67" t="s">
        <v>394</v>
      </c>
      <c r="C4" s="67"/>
      <c r="D4" s="67"/>
      <c r="E4" s="67"/>
      <c r="F4" s="67"/>
      <c r="G4" s="67"/>
      <c r="H4" s="67"/>
      <c r="I4" s="67"/>
      <c r="J4"/>
      <c r="K4"/>
      <c r="L4"/>
      <c r="M4"/>
      <c r="N4"/>
      <c r="O4"/>
    </row>
    <row r="5" spans="2:15" ht="16" customHeight="1" x14ac:dyDescent="0.2">
      <c r="B5"/>
      <c r="C5"/>
      <c r="D5"/>
      <c r="E5"/>
      <c r="F5"/>
      <c r="G5"/>
      <c r="H5"/>
      <c r="I5"/>
      <c r="J5"/>
      <c r="K5"/>
      <c r="L5"/>
      <c r="M5"/>
      <c r="N5"/>
      <c r="O5"/>
    </row>
    <row r="6" spans="2:15" x14ac:dyDescent="0.2">
      <c r="B6" s="67" t="s">
        <v>395</v>
      </c>
      <c r="C6" s="67"/>
      <c r="D6" s="67"/>
      <c r="E6" s="67"/>
      <c r="F6" s="67"/>
      <c r="G6" s="67"/>
      <c r="H6" s="67"/>
      <c r="I6" s="67"/>
      <c r="J6" s="67"/>
      <c r="K6" s="67"/>
      <c r="L6" s="67"/>
      <c r="M6" s="67"/>
      <c r="N6" s="67"/>
      <c r="O6" s="67"/>
    </row>
    <row r="7" spans="2:15" ht="16" customHeight="1" x14ac:dyDescent="0.2">
      <c r="B7" s="68" t="s">
        <v>396</v>
      </c>
      <c r="C7" s="68"/>
      <c r="D7" s="68"/>
      <c r="E7" s="68"/>
      <c r="F7" s="68"/>
      <c r="G7" s="68"/>
      <c r="H7" s="68"/>
      <c r="I7" s="68"/>
      <c r="J7" s="68"/>
      <c r="K7" s="68"/>
      <c r="L7" s="68"/>
      <c r="M7" s="68"/>
      <c r="N7" s="68"/>
      <c r="O7" s="68"/>
    </row>
    <row r="8" spans="2:15" x14ac:dyDescent="0.2">
      <c r="B8"/>
      <c r="C8"/>
      <c r="D8"/>
      <c r="E8"/>
      <c r="F8"/>
      <c r="G8"/>
      <c r="H8"/>
      <c r="I8"/>
      <c r="J8"/>
      <c r="K8"/>
      <c r="L8"/>
      <c r="M8"/>
      <c r="N8"/>
      <c r="O8"/>
    </row>
    <row r="9" spans="2:15" x14ac:dyDescent="0.2">
      <c r="B9" s="67" t="s">
        <v>397</v>
      </c>
      <c r="C9" s="67"/>
      <c r="D9" s="67"/>
      <c r="E9" s="67"/>
      <c r="F9" s="67"/>
      <c r="G9" s="67"/>
      <c r="H9" s="67"/>
      <c r="I9" s="67"/>
      <c r="J9" s="67"/>
      <c r="K9" s="67"/>
      <c r="L9" s="67"/>
      <c r="M9" s="67"/>
      <c r="N9" s="67"/>
      <c r="O9" s="67"/>
    </row>
    <row r="10" spans="2:15" ht="16" customHeight="1" x14ac:dyDescent="0.2">
      <c r="B10" s="68" t="s">
        <v>398</v>
      </c>
      <c r="C10" s="68"/>
      <c r="D10" s="68"/>
      <c r="E10" s="68"/>
      <c r="F10" s="68"/>
      <c r="G10" s="68"/>
      <c r="H10" s="68"/>
      <c r="I10" s="68"/>
      <c r="J10" s="68"/>
      <c r="K10" s="68"/>
      <c r="L10" s="68"/>
      <c r="M10" s="68"/>
      <c r="N10" s="68"/>
      <c r="O10" s="68"/>
    </row>
    <row r="11" spans="2:15" ht="16" customHeight="1" x14ac:dyDescent="0.2">
      <c r="B11"/>
      <c r="C11"/>
      <c r="D11"/>
      <c r="E11"/>
      <c r="F11"/>
      <c r="G11"/>
      <c r="H11"/>
      <c r="I11"/>
      <c r="J11"/>
      <c r="K11"/>
      <c r="L11"/>
      <c r="M11"/>
      <c r="N11"/>
      <c r="O11"/>
    </row>
    <row r="12" spans="2:15" x14ac:dyDescent="0.2">
      <c r="B12" s="67" t="s">
        <v>399</v>
      </c>
      <c r="C12" s="67"/>
      <c r="D12" s="67"/>
      <c r="E12" s="67"/>
      <c r="F12" s="67"/>
      <c r="G12" s="67"/>
      <c r="H12" s="67"/>
      <c r="I12" s="67"/>
      <c r="J12" s="67"/>
      <c r="K12" s="67"/>
      <c r="L12" s="67"/>
      <c r="M12" s="67"/>
      <c r="N12" s="67"/>
      <c r="O12" s="67"/>
    </row>
    <row r="13" spans="2:15" ht="16" customHeight="1" x14ac:dyDescent="0.2">
      <c r="B13" s="68" t="s">
        <v>400</v>
      </c>
      <c r="C13" s="68"/>
      <c r="D13" s="68"/>
      <c r="E13" s="68"/>
      <c r="F13" s="68"/>
      <c r="G13" s="68"/>
      <c r="H13" s="68"/>
      <c r="I13" s="68"/>
      <c r="J13" s="68"/>
      <c r="K13" s="68"/>
      <c r="L13" s="68"/>
      <c r="M13" s="68"/>
      <c r="N13" s="68"/>
      <c r="O13" s="68"/>
    </row>
    <row r="14" spans="2:15" x14ac:dyDescent="0.2">
      <c r="B14"/>
      <c r="C14"/>
      <c r="D14"/>
      <c r="E14"/>
      <c r="F14"/>
      <c r="G14"/>
      <c r="H14"/>
      <c r="I14"/>
      <c r="J14"/>
      <c r="K14"/>
      <c r="L14"/>
      <c r="M14"/>
      <c r="N14"/>
      <c r="O14"/>
    </row>
    <row r="15" spans="2:15" x14ac:dyDescent="0.2">
      <c r="B15" s="67" t="s">
        <v>414</v>
      </c>
      <c r="C15" s="67"/>
      <c r="D15" s="67"/>
      <c r="E15" s="67"/>
      <c r="F15" s="67"/>
      <c r="G15" s="67"/>
      <c r="H15" s="67"/>
      <c r="I15" s="67"/>
      <c r="J15" s="67"/>
      <c r="K15" s="67"/>
      <c r="L15" s="67"/>
      <c r="M15" s="67"/>
      <c r="N15" s="67"/>
      <c r="O15" s="67"/>
    </row>
    <row r="16" spans="2:15" ht="61" customHeight="1" x14ac:dyDescent="0.2">
      <c r="B16" s="69" t="s">
        <v>415</v>
      </c>
      <c r="C16" s="70"/>
      <c r="D16" s="70"/>
      <c r="E16" s="70"/>
      <c r="F16" s="70"/>
      <c r="G16" s="70"/>
      <c r="H16" s="70"/>
      <c r="I16" s="70"/>
      <c r="J16" s="70"/>
      <c r="K16" s="70"/>
      <c r="L16" s="70"/>
      <c r="M16" s="70"/>
      <c r="N16" s="70"/>
      <c r="O16" s="70"/>
    </row>
    <row r="17" spans="2:15" ht="33" customHeight="1" x14ac:dyDescent="0.2">
      <c r="B17" s="71" t="s">
        <v>132</v>
      </c>
      <c r="C17" s="71" t="s">
        <v>402</v>
      </c>
      <c r="D17" s="71" t="s">
        <v>403</v>
      </c>
      <c r="E17" s="71" t="s">
        <v>401</v>
      </c>
      <c r="F17" s="72" t="s">
        <v>416</v>
      </c>
      <c r="G17" s="72" t="s">
        <v>416</v>
      </c>
      <c r="H17" s="72" t="s">
        <v>416</v>
      </c>
      <c r="I17"/>
      <c r="J17"/>
      <c r="K17"/>
      <c r="L17"/>
      <c r="M17"/>
      <c r="N17"/>
      <c r="O17"/>
    </row>
    <row r="18" spans="2:15" x14ac:dyDescent="0.2">
      <c r="B18" s="73" t="s">
        <v>404</v>
      </c>
      <c r="C18" s="73" t="s">
        <v>405</v>
      </c>
      <c r="D18" s="73" t="s">
        <v>405</v>
      </c>
      <c r="E18" s="74">
        <v>130</v>
      </c>
      <c r="F18" s="75">
        <f>E18/800</f>
        <v>0.16250000000000001</v>
      </c>
      <c r="G18" s="75">
        <f>(130/900)</f>
        <v>0.14444444444444443</v>
      </c>
      <c r="H18" s="75">
        <f>(130/970)</f>
        <v>0.13402061855670103</v>
      </c>
      <c r="I18"/>
      <c r="J18"/>
      <c r="K18"/>
      <c r="L18"/>
      <c r="M18"/>
      <c r="N18"/>
      <c r="O18"/>
    </row>
    <row r="19" spans="2:15" x14ac:dyDescent="0.2">
      <c r="B19" s="76" t="s">
        <v>283</v>
      </c>
      <c r="C19" s="76" t="s">
        <v>406</v>
      </c>
      <c r="D19" s="76" t="s">
        <v>407</v>
      </c>
      <c r="E19" s="77">
        <v>40</v>
      </c>
      <c r="F19" s="78">
        <f>(40*800)/800</f>
        <v>40</v>
      </c>
      <c r="G19" s="78">
        <f>(40*800)/900</f>
        <v>35.555555555555557</v>
      </c>
      <c r="H19" s="78">
        <f>(40*800)/970</f>
        <v>32.989690721649481</v>
      </c>
      <c r="I19"/>
      <c r="J19"/>
      <c r="K19"/>
      <c r="L19"/>
      <c r="M19"/>
      <c r="N19"/>
      <c r="O19"/>
    </row>
    <row r="20" spans="2:15" x14ac:dyDescent="0.2">
      <c r="B20" s="73" t="s">
        <v>408</v>
      </c>
      <c r="C20" s="73" t="s">
        <v>406</v>
      </c>
      <c r="D20" s="73" t="s">
        <v>409</v>
      </c>
      <c r="E20" s="79">
        <v>800</v>
      </c>
      <c r="F20" s="75">
        <f>(800*970)/800</f>
        <v>970</v>
      </c>
      <c r="G20" s="75">
        <f>(800*970)/900</f>
        <v>862.22222222222217</v>
      </c>
      <c r="H20" s="75">
        <f>(800*970)/970</f>
        <v>800</v>
      </c>
      <c r="I20"/>
      <c r="J20"/>
      <c r="K20"/>
      <c r="L20"/>
      <c r="M20"/>
      <c r="N20"/>
      <c r="O20"/>
    </row>
    <row r="21" spans="2:15" x14ac:dyDescent="0.2">
      <c r="B21" s="80" t="s">
        <v>410</v>
      </c>
      <c r="C21" s="80"/>
      <c r="D21" s="80"/>
      <c r="E21" s="81">
        <f>(E18/800)+E19+E20</f>
        <v>840.16250000000002</v>
      </c>
      <c r="F21" s="81">
        <f>SUM(F18:F20)</f>
        <v>1010.1625</v>
      </c>
      <c r="G21" s="81">
        <f>SUM(G18:G20)</f>
        <v>897.92222222222222</v>
      </c>
      <c r="H21" s="81">
        <f>SUM(H18:H20)</f>
        <v>833.12371134020623</v>
      </c>
      <c r="I21"/>
      <c r="J21"/>
      <c r="K21"/>
      <c r="L21"/>
      <c r="M21"/>
      <c r="N21"/>
      <c r="O21"/>
    </row>
    <row r="22" spans="2:15" x14ac:dyDescent="0.2">
      <c r="B22"/>
      <c r="C22"/>
      <c r="D22"/>
      <c r="E22"/>
      <c r="F22"/>
      <c r="G22"/>
      <c r="H22"/>
      <c r="I22"/>
      <c r="J22"/>
      <c r="K22"/>
      <c r="L22"/>
      <c r="M22"/>
      <c r="N22"/>
      <c r="O22"/>
    </row>
    <row r="23" spans="2:15" x14ac:dyDescent="0.2">
      <c r="B23" s="67" t="s">
        <v>417</v>
      </c>
      <c r="C23" s="56"/>
      <c r="D23" s="56"/>
      <c r="E23" s="56"/>
      <c r="F23" s="56"/>
      <c r="G23" s="56"/>
      <c r="H23" s="56"/>
      <c r="I23" s="56"/>
      <c r="J23" s="56"/>
      <c r="K23" s="56"/>
      <c r="L23" s="56"/>
      <c r="M23" s="56"/>
      <c r="N23" s="56"/>
      <c r="O23" s="56"/>
    </row>
    <row r="24" spans="2:15" x14ac:dyDescent="0.2">
      <c r="B24" s="68" t="s">
        <v>411</v>
      </c>
      <c r="C24"/>
      <c r="D24"/>
      <c r="E24"/>
      <c r="F24"/>
      <c r="G24"/>
      <c r="H24"/>
      <c r="I24"/>
      <c r="J24"/>
      <c r="K24"/>
      <c r="L24"/>
      <c r="M24"/>
      <c r="N24"/>
      <c r="O24"/>
    </row>
    <row r="25" spans="2:15" x14ac:dyDescent="0.2">
      <c r="B25" s="68" t="s">
        <v>412</v>
      </c>
      <c r="C25"/>
      <c r="D25"/>
      <c r="E25"/>
      <c r="F25"/>
      <c r="G25"/>
      <c r="H25"/>
      <c r="I25"/>
      <c r="J25"/>
      <c r="K25"/>
      <c r="L25"/>
      <c r="M25"/>
      <c r="N25"/>
      <c r="O25"/>
    </row>
    <row r="26" spans="2:15" x14ac:dyDescent="0.2">
      <c r="B26" s="68" t="s">
        <v>413</v>
      </c>
      <c r="C26"/>
      <c r="D26"/>
      <c r="E26"/>
      <c r="F26"/>
      <c r="G26"/>
      <c r="H26"/>
      <c r="I26"/>
      <c r="J26"/>
      <c r="K26"/>
      <c r="L26"/>
      <c r="M26"/>
      <c r="N26"/>
      <c r="O26"/>
    </row>
  </sheetData>
  <sheetProtection formatCells="0" formatColumns="0" formatRows="0" insertColumns="0" insertRows="0" autoFilter="0"/>
  <pageMargins left="0.70866141732283472" right="0.70866141732283472" top="0.74803149606299213" bottom="0.74803149606299213" header="0.31496062992125984" footer="0.31496062992125984"/>
  <pageSetup paperSize="9" orientation="landscape"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AEF3-1CF9-5F4D-AEBE-3677F17847A8}">
  <dimension ref="A11:G17"/>
  <sheetViews>
    <sheetView showGridLines="0" zoomScale="120" zoomScaleNormal="120" workbookViewId="0"/>
  </sheetViews>
  <sheetFormatPr baseColWidth="10" defaultColWidth="10.83203125" defaultRowHeight="16" x14ac:dyDescent="0.2"/>
  <cols>
    <col min="1" max="1" width="20.6640625" style="1" customWidth="1"/>
    <col min="2" max="16384" width="10.83203125" style="1"/>
  </cols>
  <sheetData>
    <row r="11" spans="1:7" ht="11" customHeight="1" x14ac:dyDescent="0.2"/>
    <row r="12" spans="1:7" s="2" customFormat="1" ht="24" x14ac:dyDescent="0.3">
      <c r="A12" s="27" t="s">
        <v>4</v>
      </c>
      <c r="B12" s="14"/>
      <c r="C12" s="14"/>
      <c r="D12" s="14"/>
      <c r="E12" s="14"/>
      <c r="F12" s="14"/>
      <c r="G12" s="14"/>
    </row>
    <row r="13" spans="1:7" s="2" customFormat="1" ht="5" customHeight="1" x14ac:dyDescent="0.3">
      <c r="A13" s="14"/>
      <c r="B13" s="14"/>
      <c r="C13" s="14"/>
      <c r="D13" s="14"/>
      <c r="E13" s="14"/>
      <c r="F13" s="14"/>
      <c r="G13" s="14"/>
    </row>
    <row r="14" spans="1:7" s="2" customFormat="1" ht="5" customHeight="1" x14ac:dyDescent="0.3">
      <c r="A14" s="14"/>
      <c r="B14" s="14"/>
      <c r="C14" s="14"/>
      <c r="D14" s="14"/>
      <c r="E14" s="14"/>
      <c r="F14" s="14"/>
      <c r="G14" s="14"/>
    </row>
    <row r="15" spans="1:7" s="2" customFormat="1" ht="24" x14ac:dyDescent="0.3">
      <c r="A15" s="14"/>
      <c r="B15" s="14"/>
      <c r="C15" s="14"/>
      <c r="D15" s="14"/>
      <c r="E15" s="14"/>
      <c r="F15" s="14"/>
      <c r="G15" s="14"/>
    </row>
    <row r="16" spans="1:7" s="2" customFormat="1" ht="5" customHeight="1" x14ac:dyDescent="0.3">
      <c r="A16" s="14"/>
      <c r="B16" s="14"/>
      <c r="C16" s="14"/>
      <c r="D16" s="14"/>
      <c r="E16" s="14"/>
      <c r="F16" s="14"/>
      <c r="G16" s="14"/>
    </row>
    <row r="17" spans="1:6" ht="33" customHeight="1" thickBot="1" x14ac:dyDescent="0.25">
      <c r="A17" s="26"/>
      <c r="B17" s="26"/>
      <c r="C17" s="26"/>
      <c r="D17" s="26"/>
      <c r="E17" s="26"/>
      <c r="F17" s="26"/>
    </row>
  </sheetData>
  <sheetProtection selectLockedCells="1" selectUnlockedCells="1"/>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dimension ref="B1:O32"/>
  <sheetViews>
    <sheetView showGridLines="0" zoomScale="90" zoomScaleNormal="90" workbookViewId="0"/>
  </sheetViews>
  <sheetFormatPr baseColWidth="10" defaultColWidth="10.83203125" defaultRowHeight="16" x14ac:dyDescent="0.2"/>
  <cols>
    <col min="1" max="1" width="13.83203125" style="1" customWidth="1"/>
    <col min="2" max="2" width="31.33203125" style="1" customWidth="1"/>
    <col min="3" max="6" width="17.83203125" style="8" customWidth="1"/>
    <col min="7" max="7" width="20.33203125" style="8" bestFit="1" customWidth="1"/>
    <col min="8" max="16384" width="10.83203125" style="1"/>
  </cols>
  <sheetData>
    <row r="1" spans="2:15" ht="72" customHeight="1" x14ac:dyDescent="0.2">
      <c r="L1" s="15" t="s">
        <v>135</v>
      </c>
      <c r="N1" s="152" t="s">
        <v>55</v>
      </c>
      <c r="O1" s="152"/>
    </row>
    <row r="2" spans="2:15" ht="40" customHeight="1" x14ac:dyDescent="0.2">
      <c r="B2" s="14"/>
      <c r="C2" s="14"/>
      <c r="D2" s="14"/>
      <c r="E2" s="14"/>
      <c r="F2" s="14"/>
      <c r="G2" s="14"/>
    </row>
    <row r="3" spans="2:15" ht="16" customHeight="1" x14ac:dyDescent="0.2">
      <c r="B3" s="14"/>
      <c r="C3" s="14"/>
      <c r="D3" s="14"/>
      <c r="E3" s="14"/>
      <c r="F3" s="14"/>
      <c r="G3" s="14"/>
    </row>
    <row r="4" spans="2:15" x14ac:dyDescent="0.2">
      <c r="B4" s="150" t="s">
        <v>136</v>
      </c>
      <c r="C4" s="151"/>
      <c r="D4" s="151"/>
      <c r="E4" s="151"/>
      <c r="F4" s="151"/>
      <c r="G4" s="151"/>
    </row>
    <row r="5" spans="2:15" x14ac:dyDescent="0.2">
      <c r="B5" s="151"/>
      <c r="C5" s="151"/>
      <c r="D5" s="151"/>
      <c r="E5" s="151"/>
      <c r="F5" s="151"/>
      <c r="G5" s="151"/>
    </row>
    <row r="6" spans="2:15" x14ac:dyDescent="0.2">
      <c r="B6" s="151"/>
      <c r="C6" s="151"/>
      <c r="D6" s="151"/>
      <c r="E6" s="151"/>
      <c r="F6" s="151"/>
      <c r="G6" s="151"/>
    </row>
    <row r="7" spans="2:15" x14ac:dyDescent="0.2">
      <c r="B7" s="151"/>
      <c r="C7" s="151"/>
      <c r="D7" s="151"/>
      <c r="E7" s="151"/>
      <c r="F7" s="151"/>
      <c r="G7" s="151"/>
    </row>
    <row r="8" spans="2:15" x14ac:dyDescent="0.2">
      <c r="B8" s="151"/>
      <c r="C8" s="151"/>
      <c r="D8" s="151"/>
      <c r="E8" s="151"/>
      <c r="F8" s="151"/>
      <c r="G8" s="151"/>
    </row>
    <row r="9" spans="2:15" x14ac:dyDescent="0.2">
      <c r="B9" s="151"/>
      <c r="C9" s="151"/>
      <c r="D9" s="151"/>
      <c r="E9" s="151"/>
      <c r="F9" s="151"/>
      <c r="G9" s="151"/>
    </row>
    <row r="10" spans="2:15" x14ac:dyDescent="0.2">
      <c r="B10" s="151"/>
      <c r="C10" s="151"/>
      <c r="D10" s="151"/>
      <c r="E10" s="151"/>
      <c r="F10" s="151"/>
      <c r="G10" s="151"/>
    </row>
    <row r="11" spans="2:15" x14ac:dyDescent="0.2">
      <c r="B11" s="151"/>
      <c r="C11" s="151"/>
      <c r="D11" s="151"/>
      <c r="E11" s="151"/>
      <c r="F11" s="151"/>
      <c r="G11" s="151"/>
    </row>
    <row r="12" spans="2:15" x14ac:dyDescent="0.2">
      <c r="B12" s="151"/>
      <c r="C12" s="151"/>
      <c r="D12" s="151"/>
      <c r="E12" s="151"/>
      <c r="F12" s="151"/>
      <c r="G12" s="151"/>
    </row>
    <row r="13" spans="2:15" x14ac:dyDescent="0.2">
      <c r="B13" s="151"/>
      <c r="C13" s="151"/>
      <c r="D13" s="151"/>
      <c r="E13" s="151"/>
      <c r="F13" s="151"/>
      <c r="G13" s="151"/>
    </row>
    <row r="14" spans="2:15" x14ac:dyDescent="0.2">
      <c r="B14" s="151"/>
      <c r="C14" s="151"/>
      <c r="D14" s="151"/>
      <c r="E14" s="151"/>
      <c r="F14" s="151"/>
      <c r="G14" s="151"/>
    </row>
    <row r="15" spans="2:15" x14ac:dyDescent="0.2">
      <c r="B15" s="151"/>
      <c r="C15" s="151"/>
      <c r="D15" s="151"/>
      <c r="E15" s="151"/>
      <c r="F15" s="151"/>
      <c r="G15" s="151"/>
    </row>
    <row r="16" spans="2:15" x14ac:dyDescent="0.2">
      <c r="B16" s="151"/>
      <c r="C16" s="151"/>
      <c r="D16" s="151"/>
      <c r="E16" s="151"/>
      <c r="F16" s="151"/>
      <c r="G16" s="151"/>
    </row>
    <row r="17" spans="2:7" x14ac:dyDescent="0.2">
      <c r="B17" s="151"/>
      <c r="C17" s="151"/>
      <c r="D17" s="151"/>
      <c r="E17" s="151"/>
      <c r="F17" s="151"/>
      <c r="G17" s="151"/>
    </row>
    <row r="18" spans="2:7" x14ac:dyDescent="0.2">
      <c r="B18" s="151"/>
      <c r="C18" s="151"/>
      <c r="D18" s="151"/>
      <c r="E18" s="151"/>
      <c r="F18" s="151"/>
      <c r="G18" s="151"/>
    </row>
    <row r="19" spans="2:7" x14ac:dyDescent="0.2">
      <c r="B19" s="151"/>
      <c r="C19" s="151"/>
      <c r="D19" s="151"/>
      <c r="E19" s="151"/>
      <c r="F19" s="151"/>
      <c r="G19" s="151"/>
    </row>
    <row r="20" spans="2:7" x14ac:dyDescent="0.2">
      <c r="B20" s="151"/>
      <c r="C20" s="151"/>
      <c r="D20" s="151"/>
      <c r="E20" s="151"/>
      <c r="F20" s="151"/>
      <c r="G20" s="151"/>
    </row>
    <row r="21" spans="2:7" x14ac:dyDescent="0.2">
      <c r="B21" s="151"/>
      <c r="C21" s="151"/>
      <c r="D21" s="151"/>
      <c r="E21" s="151"/>
      <c r="F21" s="151"/>
      <c r="G21" s="151"/>
    </row>
    <row r="22" spans="2:7" x14ac:dyDescent="0.2">
      <c r="B22" s="151"/>
      <c r="C22" s="151"/>
      <c r="D22" s="151"/>
      <c r="E22" s="151"/>
      <c r="F22" s="151"/>
      <c r="G22" s="151"/>
    </row>
    <row r="23" spans="2:7" x14ac:dyDescent="0.2">
      <c r="B23" s="151"/>
      <c r="C23" s="151"/>
      <c r="D23" s="151"/>
      <c r="E23" s="151"/>
      <c r="F23" s="151"/>
      <c r="G23" s="151"/>
    </row>
    <row r="24" spans="2:7" x14ac:dyDescent="0.2">
      <c r="B24" s="151"/>
      <c r="C24" s="151"/>
      <c r="D24" s="151"/>
      <c r="E24" s="151"/>
      <c r="F24" s="151"/>
      <c r="G24" s="151"/>
    </row>
    <row r="25" spans="2:7" x14ac:dyDescent="0.2">
      <c r="B25" s="151"/>
      <c r="C25" s="151"/>
      <c r="D25" s="151"/>
      <c r="E25" s="151"/>
      <c r="F25" s="151"/>
      <c r="G25" s="151"/>
    </row>
    <row r="26" spans="2:7" x14ac:dyDescent="0.2">
      <c r="B26" s="151"/>
      <c r="C26" s="151"/>
      <c r="D26" s="151"/>
      <c r="E26" s="151"/>
      <c r="F26" s="151"/>
      <c r="G26" s="151"/>
    </row>
    <row r="27" spans="2:7" x14ac:dyDescent="0.2">
      <c r="B27" s="151"/>
      <c r="C27" s="151"/>
      <c r="D27" s="151"/>
      <c r="E27" s="151"/>
      <c r="F27" s="151"/>
      <c r="G27" s="151"/>
    </row>
    <row r="28" spans="2:7" x14ac:dyDescent="0.2">
      <c r="B28" s="151"/>
      <c r="C28" s="151"/>
      <c r="D28" s="151"/>
      <c r="E28" s="151"/>
      <c r="F28" s="151"/>
      <c r="G28" s="151"/>
    </row>
    <row r="29" spans="2:7" x14ac:dyDescent="0.2">
      <c r="B29" s="151"/>
      <c r="C29" s="151"/>
      <c r="D29" s="151"/>
      <c r="E29" s="151"/>
      <c r="F29" s="151"/>
      <c r="G29" s="151"/>
    </row>
    <row r="30" spans="2:7" x14ac:dyDescent="0.2">
      <c r="B30" s="151"/>
      <c r="C30" s="151"/>
      <c r="D30" s="151"/>
      <c r="E30" s="151"/>
      <c r="F30" s="151"/>
      <c r="G30" s="151"/>
    </row>
    <row r="31" spans="2:7" x14ac:dyDescent="0.2">
      <c r="B31" s="151"/>
      <c r="C31" s="151"/>
      <c r="D31" s="151"/>
      <c r="E31" s="151"/>
      <c r="F31" s="151"/>
      <c r="G31" s="151"/>
    </row>
    <row r="32" spans="2:7" x14ac:dyDescent="0.2">
      <c r="B32" s="151"/>
      <c r="C32" s="151"/>
      <c r="D32" s="151"/>
      <c r="E32" s="151"/>
      <c r="F32" s="151"/>
      <c r="G32" s="151"/>
    </row>
  </sheetData>
  <sheetProtection selectLockedCells="1" selectUnlockedCells="1"/>
  <mergeCells count="2">
    <mergeCell ref="B4:G32"/>
    <mergeCell ref="N1:O1"/>
  </mergeCells>
  <pageMargins left="0.7" right="0.7" top="0.75" bottom="0.75" header="0.3" footer="0.3"/>
  <pageSetup orientation="portrait" horizontalDpi="0"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51"/>
  <dimension ref="A1:S65"/>
  <sheetViews>
    <sheetView showGridLines="0" zoomScale="90" zoomScaleNormal="90" workbookViewId="0"/>
  </sheetViews>
  <sheetFormatPr baseColWidth="10" defaultColWidth="10.83203125" defaultRowHeight="16" x14ac:dyDescent="0.2"/>
  <cols>
    <col min="1" max="1" width="3" style="11" customWidth="1"/>
    <col min="2" max="2" width="3" style="8" customWidth="1"/>
    <col min="3" max="6" width="17.83203125" style="8" customWidth="1"/>
    <col min="7" max="9" width="17.83203125" style="1" customWidth="1"/>
    <col min="10" max="10" width="10.83203125" style="1"/>
    <col min="11" max="11" width="2.6640625" style="1" customWidth="1"/>
    <col min="12" max="16384" width="10.83203125" style="1"/>
  </cols>
  <sheetData>
    <row r="1" spans="1:18" ht="72" customHeight="1" x14ac:dyDescent="0.2">
      <c r="K1" s="115" t="s">
        <v>134</v>
      </c>
      <c r="L1" s="116"/>
      <c r="M1" s="114"/>
      <c r="N1" s="114"/>
      <c r="P1" s="20"/>
      <c r="Q1" s="155"/>
      <c r="R1" s="155"/>
    </row>
    <row r="2" spans="1:18" ht="40" customHeight="1" x14ac:dyDescent="0.2">
      <c r="A2" s="14"/>
      <c r="B2" s="14"/>
      <c r="C2" s="14"/>
      <c r="D2" s="14"/>
      <c r="E2" s="14"/>
      <c r="F2" s="14"/>
      <c r="G2" s="14"/>
      <c r="H2" s="14"/>
      <c r="I2" s="14"/>
      <c r="J2" s="14"/>
    </row>
    <row r="3" spans="1:18" ht="16" customHeight="1" x14ac:dyDescent="0.2">
      <c r="A3" s="14"/>
      <c r="B3" s="14"/>
      <c r="C3" s="14"/>
      <c r="D3" s="14"/>
      <c r="E3" s="14"/>
      <c r="F3" s="14"/>
      <c r="G3" s="14"/>
      <c r="H3" s="14"/>
      <c r="I3" s="14"/>
      <c r="J3" s="14"/>
    </row>
    <row r="4" spans="1:18" ht="16" customHeight="1" x14ac:dyDescent="0.2">
      <c r="A4" s="154" t="s">
        <v>7</v>
      </c>
      <c r="B4" s="154"/>
      <c r="C4" s="154"/>
      <c r="D4" s="154"/>
      <c r="E4" s="154"/>
      <c r="F4" s="154"/>
      <c r="G4" s="154"/>
      <c r="H4" s="154"/>
      <c r="I4" s="154"/>
      <c r="J4" s="154"/>
    </row>
    <row r="5" spans="1:18" ht="18" customHeight="1" x14ac:dyDescent="0.2">
      <c r="A5" s="12" t="s">
        <v>2</v>
      </c>
      <c r="B5" s="153" t="s">
        <v>8</v>
      </c>
      <c r="C5" s="153"/>
      <c r="D5" s="153"/>
      <c r="E5" s="153"/>
      <c r="F5" s="153"/>
      <c r="G5" s="153"/>
      <c r="H5" s="153"/>
      <c r="I5" s="153"/>
      <c r="J5" s="153"/>
    </row>
    <row r="6" spans="1:18" ht="18" customHeight="1" x14ac:dyDescent="0.2">
      <c r="A6" s="12" t="s">
        <v>2</v>
      </c>
      <c r="B6" s="153" t="s">
        <v>9</v>
      </c>
      <c r="C6" s="153"/>
      <c r="D6" s="153"/>
      <c r="E6" s="153"/>
      <c r="F6" s="153"/>
      <c r="G6" s="153"/>
      <c r="H6" s="153"/>
      <c r="I6" s="153"/>
      <c r="J6" s="153"/>
    </row>
    <row r="7" spans="1:18" ht="18" customHeight="1" x14ac:dyDescent="0.2">
      <c r="A7" s="12" t="s">
        <v>2</v>
      </c>
      <c r="B7" s="153" t="s">
        <v>10</v>
      </c>
      <c r="C7" s="153"/>
      <c r="D7" s="153"/>
      <c r="E7" s="153"/>
      <c r="F7" s="153"/>
      <c r="G7" s="153"/>
      <c r="H7" s="153"/>
      <c r="I7" s="153"/>
      <c r="J7" s="153"/>
    </row>
    <row r="8" spans="1:18" ht="18" customHeight="1" x14ac:dyDescent="0.2">
      <c r="A8" s="12" t="s">
        <v>2</v>
      </c>
      <c r="B8" s="153" t="s">
        <v>11</v>
      </c>
      <c r="C8" s="153"/>
      <c r="D8" s="153"/>
      <c r="E8" s="153"/>
      <c r="F8" s="153"/>
      <c r="G8" s="153"/>
      <c r="H8" s="153"/>
      <c r="I8" s="153"/>
      <c r="J8" s="153"/>
    </row>
    <row r="9" spans="1:18" ht="18" customHeight="1" x14ac:dyDescent="0.2">
      <c r="A9" s="12" t="s">
        <v>2</v>
      </c>
      <c r="B9" s="153" t="s">
        <v>12</v>
      </c>
      <c r="C9" s="153"/>
      <c r="D9" s="153"/>
      <c r="E9" s="153"/>
      <c r="F9" s="153"/>
      <c r="G9" s="153"/>
      <c r="H9" s="153"/>
      <c r="I9" s="153"/>
      <c r="J9" s="153"/>
    </row>
    <row r="10" spans="1:18" ht="18" customHeight="1" x14ac:dyDescent="0.2">
      <c r="A10" s="12" t="s">
        <v>2</v>
      </c>
      <c r="B10" s="153" t="s">
        <v>13</v>
      </c>
      <c r="C10" s="153"/>
      <c r="D10" s="153"/>
      <c r="E10" s="153"/>
      <c r="F10" s="153"/>
      <c r="G10" s="153"/>
      <c r="H10" s="153"/>
      <c r="I10" s="153"/>
      <c r="J10" s="153"/>
    </row>
    <row r="11" spans="1:18" ht="18" customHeight="1" x14ac:dyDescent="0.2">
      <c r="A11" s="12" t="s">
        <v>2</v>
      </c>
      <c r="B11" s="153" t="s">
        <v>14</v>
      </c>
      <c r="C11" s="153"/>
      <c r="D11" s="153"/>
      <c r="E11" s="153"/>
      <c r="F11" s="153"/>
      <c r="G11" s="153"/>
      <c r="H11" s="153"/>
      <c r="I11" s="153"/>
      <c r="J11" s="153"/>
      <c r="K11" s="153"/>
      <c r="L11" s="153"/>
      <c r="M11" s="153"/>
    </row>
    <row r="12" spans="1:18" ht="18" customHeight="1" x14ac:dyDescent="0.2">
      <c r="A12" s="12" t="s">
        <v>2</v>
      </c>
      <c r="B12" s="153" t="s">
        <v>15</v>
      </c>
      <c r="C12" s="153"/>
      <c r="D12" s="153"/>
      <c r="E12" s="153"/>
      <c r="F12" s="153"/>
      <c r="G12" s="153"/>
      <c r="H12" s="153"/>
      <c r="I12" s="153"/>
      <c r="J12" s="153"/>
    </row>
    <row r="13" spans="1:18" ht="18" customHeight="1" x14ac:dyDescent="0.2">
      <c r="A13" s="12" t="s">
        <v>2</v>
      </c>
      <c r="B13" s="153" t="s">
        <v>16</v>
      </c>
      <c r="C13" s="153"/>
      <c r="D13" s="153"/>
      <c r="E13" s="153"/>
      <c r="F13" s="153"/>
      <c r="G13" s="153"/>
      <c r="H13" s="153"/>
      <c r="I13" s="153"/>
      <c r="J13" s="153"/>
    </row>
    <row r="14" spans="1:18" ht="16" customHeight="1" x14ac:dyDescent="0.2">
      <c r="A14" s="12"/>
      <c r="B14" s="13"/>
      <c r="C14" s="13"/>
      <c r="D14" s="13"/>
      <c r="E14" s="13"/>
      <c r="F14" s="13"/>
      <c r="G14" s="13"/>
      <c r="H14" s="13"/>
      <c r="I14" s="13"/>
      <c r="J14" s="13"/>
    </row>
    <row r="15" spans="1:18" ht="16" customHeight="1" x14ac:dyDescent="0.2">
      <c r="A15" s="154" t="s">
        <v>17</v>
      </c>
      <c r="B15" s="154"/>
      <c r="C15" s="154"/>
      <c r="D15" s="154"/>
      <c r="E15" s="154"/>
      <c r="F15" s="154"/>
      <c r="G15" s="154"/>
      <c r="H15" s="154"/>
      <c r="I15" s="154"/>
      <c r="J15" s="154"/>
    </row>
    <row r="16" spans="1:18" ht="18" customHeight="1" x14ac:dyDescent="0.2">
      <c r="A16" s="12" t="s">
        <v>2</v>
      </c>
      <c r="B16" s="153" t="s">
        <v>56</v>
      </c>
      <c r="C16" s="153"/>
      <c r="D16" s="153"/>
      <c r="E16" s="153"/>
      <c r="F16" s="153"/>
      <c r="G16" s="153"/>
      <c r="H16" s="153"/>
      <c r="I16" s="153"/>
      <c r="J16" s="153"/>
    </row>
    <row r="17" spans="1:19" s="10" customFormat="1" ht="36" customHeight="1" x14ac:dyDescent="0.2">
      <c r="A17" s="34" t="s">
        <v>2</v>
      </c>
      <c r="B17" s="153" t="s">
        <v>18</v>
      </c>
      <c r="C17" s="153"/>
      <c r="D17" s="153"/>
      <c r="E17" s="153"/>
      <c r="F17" s="153"/>
      <c r="G17" s="153"/>
      <c r="H17" s="153"/>
      <c r="I17" s="153"/>
      <c r="J17" s="153"/>
      <c r="K17" s="153"/>
      <c r="L17" s="153"/>
      <c r="M17" s="153"/>
      <c r="N17" s="153"/>
      <c r="O17" s="28"/>
      <c r="P17" s="28"/>
    </row>
    <row r="18" spans="1:19" ht="36" customHeight="1" x14ac:dyDescent="0.2">
      <c r="A18" s="34" t="s">
        <v>2</v>
      </c>
      <c r="B18" s="153" t="s">
        <v>19</v>
      </c>
      <c r="C18" s="153"/>
      <c r="D18" s="153"/>
      <c r="E18" s="153"/>
      <c r="F18" s="153"/>
      <c r="G18" s="153"/>
      <c r="H18" s="153"/>
      <c r="I18" s="153"/>
      <c r="J18" s="153"/>
      <c r="K18" s="153"/>
      <c r="L18" s="153"/>
      <c r="M18" s="153"/>
      <c r="N18" s="153"/>
      <c r="O18" s="33"/>
      <c r="P18" s="33"/>
      <c r="Q18" s="33"/>
      <c r="R18" s="33"/>
      <c r="S18" s="33"/>
    </row>
    <row r="19" spans="1:19" ht="18" customHeight="1" x14ac:dyDescent="0.2">
      <c r="A19" s="12" t="s">
        <v>2</v>
      </c>
      <c r="B19" s="153" t="s">
        <v>20</v>
      </c>
      <c r="C19" s="153"/>
      <c r="D19" s="153"/>
      <c r="E19" s="153"/>
      <c r="F19" s="153"/>
      <c r="G19" s="153"/>
      <c r="H19" s="153"/>
      <c r="I19" s="153"/>
      <c r="J19" s="153"/>
    </row>
    <row r="20" spans="1:19" ht="18" customHeight="1" x14ac:dyDescent="0.2">
      <c r="A20" s="12" t="s">
        <v>2</v>
      </c>
      <c r="B20" s="153" t="s">
        <v>21</v>
      </c>
      <c r="C20" s="153"/>
      <c r="D20" s="153"/>
      <c r="E20" s="153"/>
      <c r="F20" s="153"/>
      <c r="G20" s="153"/>
      <c r="H20" s="153"/>
      <c r="I20" s="153"/>
      <c r="J20" s="153"/>
      <c r="K20" s="153"/>
      <c r="L20" s="153"/>
      <c r="M20" s="153"/>
    </row>
    <row r="21" spans="1:19" ht="18" customHeight="1" x14ac:dyDescent="0.2">
      <c r="A21" s="12" t="s">
        <v>2</v>
      </c>
      <c r="B21" s="153" t="s">
        <v>22</v>
      </c>
      <c r="C21" s="153"/>
      <c r="D21" s="153"/>
      <c r="E21" s="153"/>
      <c r="F21" s="153"/>
      <c r="G21" s="153"/>
      <c r="H21" s="153"/>
      <c r="I21" s="153"/>
      <c r="J21" s="153"/>
    </row>
    <row r="22" spans="1:19" ht="18" customHeight="1" x14ac:dyDescent="0.2">
      <c r="A22" s="12" t="s">
        <v>2</v>
      </c>
      <c r="B22" s="153" t="s">
        <v>23</v>
      </c>
      <c r="C22" s="153"/>
      <c r="D22" s="153"/>
      <c r="E22" s="153"/>
      <c r="F22" s="153"/>
      <c r="G22" s="153"/>
      <c r="H22" s="153"/>
      <c r="I22" s="153"/>
      <c r="J22" s="153"/>
      <c r="K22" s="153"/>
    </row>
    <row r="23" spans="1:19" ht="18" customHeight="1" x14ac:dyDescent="0.2">
      <c r="A23" s="12" t="s">
        <v>2</v>
      </c>
      <c r="B23" s="153" t="s">
        <v>92</v>
      </c>
      <c r="C23" s="153"/>
      <c r="D23" s="153"/>
      <c r="E23" s="153"/>
      <c r="F23" s="153"/>
      <c r="G23" s="153"/>
      <c r="H23" s="153"/>
      <c r="I23" s="153"/>
      <c r="J23" s="153"/>
    </row>
    <row r="24" spans="1:19" ht="18" customHeight="1" x14ac:dyDescent="0.2">
      <c r="A24" s="12" t="s">
        <v>2</v>
      </c>
      <c r="B24" s="153" t="s">
        <v>24</v>
      </c>
      <c r="C24" s="153"/>
      <c r="D24" s="153"/>
      <c r="E24" s="153"/>
      <c r="F24" s="153"/>
      <c r="G24" s="153"/>
      <c r="H24" s="153"/>
      <c r="I24" s="153"/>
      <c r="J24" s="153"/>
    </row>
    <row r="25" spans="1:19" ht="16" customHeight="1" x14ac:dyDescent="0.2">
      <c r="A25" s="12"/>
      <c r="B25" s="13"/>
      <c r="C25" s="13"/>
      <c r="D25" s="13"/>
      <c r="E25" s="13"/>
      <c r="F25" s="13"/>
      <c r="G25" s="13"/>
      <c r="H25" s="13"/>
      <c r="I25" s="13"/>
      <c r="J25" s="13"/>
    </row>
    <row r="26" spans="1:19" ht="16" customHeight="1" x14ac:dyDescent="0.2">
      <c r="A26" s="154" t="s">
        <v>25</v>
      </c>
      <c r="B26" s="154"/>
      <c r="C26" s="154"/>
      <c r="D26" s="154"/>
      <c r="E26" s="154"/>
      <c r="F26" s="154"/>
      <c r="G26" s="154"/>
      <c r="H26" s="154"/>
      <c r="I26" s="154"/>
      <c r="J26" s="154"/>
    </row>
    <row r="27" spans="1:19" ht="18" customHeight="1" x14ac:dyDescent="0.2">
      <c r="A27" s="12" t="s">
        <v>2</v>
      </c>
      <c r="B27" s="153" t="s">
        <v>26</v>
      </c>
      <c r="C27" s="153"/>
      <c r="D27" s="153"/>
      <c r="E27" s="153"/>
      <c r="F27" s="153"/>
      <c r="G27" s="153"/>
      <c r="H27" s="153"/>
      <c r="I27" s="153"/>
      <c r="J27" s="153"/>
    </row>
    <row r="28" spans="1:19" ht="18" customHeight="1" x14ac:dyDescent="0.2">
      <c r="A28" s="12" t="s">
        <v>2</v>
      </c>
      <c r="B28" s="153" t="s">
        <v>27</v>
      </c>
      <c r="C28" s="153"/>
      <c r="D28" s="153"/>
      <c r="E28" s="153"/>
      <c r="F28" s="153"/>
      <c r="G28" s="153"/>
      <c r="H28" s="153"/>
      <c r="I28" s="153"/>
      <c r="J28" s="153"/>
      <c r="K28" s="153"/>
      <c r="L28" s="153"/>
      <c r="M28" s="153"/>
      <c r="N28" s="153"/>
      <c r="O28" s="153"/>
      <c r="P28" s="153"/>
      <c r="Q28" s="10"/>
      <c r="R28" s="10"/>
      <c r="S28" s="10"/>
    </row>
    <row r="29" spans="1:19" ht="18" customHeight="1" x14ac:dyDescent="0.2">
      <c r="A29" s="12" t="s">
        <v>2</v>
      </c>
      <c r="B29" s="153" t="s">
        <v>28</v>
      </c>
      <c r="C29" s="153"/>
      <c r="D29" s="153"/>
      <c r="E29" s="153"/>
      <c r="F29" s="153"/>
      <c r="G29" s="153"/>
      <c r="H29" s="153"/>
      <c r="I29" s="153"/>
      <c r="J29" s="153"/>
      <c r="K29" s="153"/>
      <c r="L29" s="153"/>
      <c r="M29" s="153"/>
      <c r="N29" s="153"/>
      <c r="O29" s="153"/>
      <c r="P29" s="153"/>
      <c r="Q29" s="153"/>
      <c r="R29" s="153"/>
      <c r="S29" s="153"/>
    </row>
    <row r="30" spans="1:19" ht="18" customHeight="1" x14ac:dyDescent="0.2">
      <c r="A30" s="12" t="s">
        <v>2</v>
      </c>
      <c r="B30" s="153" t="s">
        <v>29</v>
      </c>
      <c r="C30" s="153"/>
      <c r="D30" s="153"/>
      <c r="E30" s="153"/>
      <c r="F30" s="153"/>
      <c r="G30" s="153"/>
      <c r="H30" s="153"/>
      <c r="I30" s="153"/>
      <c r="J30" s="153"/>
    </row>
    <row r="31" spans="1:19" ht="18" customHeight="1" x14ac:dyDescent="0.2">
      <c r="A31" s="12" t="s">
        <v>2</v>
      </c>
      <c r="B31" s="153" t="s">
        <v>30</v>
      </c>
      <c r="C31" s="153"/>
      <c r="D31" s="153"/>
      <c r="E31" s="153"/>
      <c r="F31" s="153"/>
      <c r="G31" s="153"/>
      <c r="H31" s="153"/>
      <c r="I31" s="153"/>
      <c r="J31" s="153"/>
    </row>
    <row r="32" spans="1:19" ht="18" customHeight="1" x14ac:dyDescent="0.2">
      <c r="A32" s="12" t="s">
        <v>2</v>
      </c>
      <c r="B32" s="153" t="s">
        <v>31</v>
      </c>
      <c r="C32" s="153"/>
      <c r="D32" s="153"/>
      <c r="E32" s="153"/>
      <c r="F32" s="153"/>
      <c r="G32" s="153"/>
      <c r="H32" s="153"/>
      <c r="I32" s="153"/>
      <c r="J32" s="153"/>
    </row>
    <row r="33" spans="1:19" ht="16" customHeight="1" x14ac:dyDescent="0.2">
      <c r="A33" s="12"/>
      <c r="B33" s="153"/>
      <c r="C33" s="153"/>
      <c r="D33" s="153"/>
      <c r="E33" s="153"/>
      <c r="F33" s="153"/>
      <c r="G33" s="153"/>
      <c r="H33" s="153"/>
      <c r="I33" s="153"/>
      <c r="J33" s="153"/>
      <c r="K33" s="153"/>
    </row>
    <row r="34" spans="1:19" ht="16" customHeight="1" x14ac:dyDescent="0.2">
      <c r="A34" s="154" t="s">
        <v>32</v>
      </c>
      <c r="B34" s="154"/>
      <c r="C34" s="154"/>
      <c r="D34" s="154"/>
      <c r="E34" s="154"/>
      <c r="F34" s="154"/>
      <c r="G34" s="154"/>
      <c r="H34" s="154"/>
      <c r="I34" s="154"/>
      <c r="J34" s="154"/>
    </row>
    <row r="35" spans="1:19" ht="18" customHeight="1" x14ac:dyDescent="0.2">
      <c r="A35" s="12" t="s">
        <v>2</v>
      </c>
      <c r="B35" s="153" t="s">
        <v>33</v>
      </c>
      <c r="C35" s="153"/>
      <c r="D35" s="153"/>
      <c r="E35" s="153"/>
      <c r="F35" s="153"/>
      <c r="G35" s="153"/>
      <c r="H35" s="153"/>
      <c r="I35" s="153"/>
      <c r="J35" s="153"/>
    </row>
    <row r="36" spans="1:19" ht="18" customHeight="1" x14ac:dyDescent="0.2">
      <c r="A36" s="12" t="s">
        <v>2</v>
      </c>
      <c r="B36" s="153" t="s">
        <v>34</v>
      </c>
      <c r="C36" s="153"/>
      <c r="D36" s="153"/>
      <c r="E36" s="153"/>
      <c r="F36" s="153"/>
      <c r="G36" s="153"/>
      <c r="H36" s="153"/>
      <c r="I36" s="153"/>
      <c r="J36" s="153"/>
      <c r="K36" s="153"/>
      <c r="L36" s="153"/>
      <c r="M36" s="153"/>
      <c r="N36" s="153"/>
      <c r="O36" s="153"/>
      <c r="P36" s="153"/>
      <c r="Q36" s="10"/>
      <c r="R36" s="10"/>
      <c r="S36" s="10"/>
    </row>
    <row r="37" spans="1:19" ht="18" customHeight="1" x14ac:dyDescent="0.2">
      <c r="A37" s="12" t="s">
        <v>2</v>
      </c>
      <c r="B37" s="153" t="s">
        <v>35</v>
      </c>
      <c r="C37" s="153"/>
      <c r="D37" s="153"/>
      <c r="E37" s="153"/>
      <c r="F37" s="153"/>
      <c r="G37" s="153"/>
      <c r="H37" s="153"/>
      <c r="I37" s="153"/>
      <c r="J37" s="153"/>
      <c r="K37" s="153"/>
      <c r="L37" s="153"/>
      <c r="M37" s="153"/>
      <c r="N37" s="153"/>
      <c r="O37" s="153"/>
      <c r="P37" s="153"/>
      <c r="Q37" s="153"/>
      <c r="R37" s="153"/>
      <c r="S37" s="153"/>
    </row>
    <row r="38" spans="1:19" ht="36" customHeight="1" x14ac:dyDescent="0.2">
      <c r="A38" s="34" t="s">
        <v>2</v>
      </c>
      <c r="B38" s="153" t="s">
        <v>137</v>
      </c>
      <c r="C38" s="153"/>
      <c r="D38" s="153"/>
      <c r="E38" s="153"/>
      <c r="F38" s="153"/>
      <c r="G38" s="153"/>
      <c r="H38" s="153"/>
      <c r="I38" s="153"/>
      <c r="J38" s="153"/>
      <c r="K38" s="153"/>
      <c r="L38" s="153"/>
      <c r="M38" s="153"/>
      <c r="N38" s="153"/>
      <c r="O38" s="33"/>
      <c r="P38" s="33"/>
      <c r="Q38" s="33"/>
      <c r="R38" s="33"/>
    </row>
    <row r="39" spans="1:19" ht="18" customHeight="1" x14ac:dyDescent="0.2">
      <c r="A39" s="12" t="s">
        <v>2</v>
      </c>
      <c r="B39" s="153" t="s">
        <v>36</v>
      </c>
      <c r="C39" s="153"/>
      <c r="D39" s="153"/>
      <c r="E39" s="153"/>
      <c r="F39" s="153"/>
      <c r="G39" s="153"/>
      <c r="H39" s="153"/>
      <c r="I39" s="153"/>
      <c r="J39" s="153"/>
    </row>
    <row r="40" spans="1:19" ht="18" customHeight="1" x14ac:dyDescent="0.2">
      <c r="A40" s="12" t="s">
        <v>2</v>
      </c>
      <c r="B40" s="153" t="s">
        <v>58</v>
      </c>
      <c r="C40" s="153"/>
      <c r="D40" s="153"/>
      <c r="E40" s="153"/>
      <c r="F40" s="153"/>
      <c r="G40" s="153"/>
      <c r="H40" s="153"/>
      <c r="I40" s="153"/>
      <c r="J40" s="153"/>
      <c r="K40" s="153"/>
      <c r="L40" s="153"/>
      <c r="M40" s="153"/>
    </row>
    <row r="41" spans="1:19" ht="18" customHeight="1" x14ac:dyDescent="0.2">
      <c r="A41" s="12" t="s">
        <v>2</v>
      </c>
      <c r="B41" s="153" t="s">
        <v>37</v>
      </c>
      <c r="C41" s="153"/>
      <c r="D41" s="153"/>
      <c r="E41" s="153"/>
      <c r="F41" s="153"/>
      <c r="G41" s="153"/>
      <c r="H41" s="153"/>
      <c r="I41" s="153"/>
      <c r="J41" s="153"/>
      <c r="K41" s="153"/>
    </row>
    <row r="42" spans="1:19" ht="18" customHeight="1" x14ac:dyDescent="0.2">
      <c r="A42" s="12" t="s">
        <v>2</v>
      </c>
      <c r="B42" s="153" t="s">
        <v>38</v>
      </c>
      <c r="C42" s="153"/>
      <c r="D42" s="153"/>
      <c r="E42" s="153"/>
      <c r="F42" s="153"/>
      <c r="G42" s="153"/>
      <c r="H42" s="153"/>
      <c r="I42" s="153"/>
      <c r="J42" s="153"/>
    </row>
    <row r="43" spans="1:19" ht="18" customHeight="1" x14ac:dyDescent="0.2">
      <c r="A43" s="12" t="s">
        <v>2</v>
      </c>
      <c r="B43" s="153" t="s">
        <v>39</v>
      </c>
      <c r="C43" s="153"/>
      <c r="D43" s="153"/>
      <c r="E43" s="153"/>
      <c r="F43" s="153"/>
      <c r="G43" s="153"/>
      <c r="H43" s="153"/>
      <c r="I43" s="153"/>
      <c r="J43" s="153"/>
    </row>
    <row r="44" spans="1:19" ht="18" customHeight="1" x14ac:dyDescent="0.2">
      <c r="A44" s="12" t="s">
        <v>2</v>
      </c>
      <c r="B44" s="153" t="s">
        <v>40</v>
      </c>
      <c r="C44" s="153"/>
      <c r="D44" s="153"/>
      <c r="E44" s="153"/>
      <c r="F44" s="153"/>
      <c r="G44" s="153"/>
      <c r="H44" s="153"/>
      <c r="I44" s="153"/>
      <c r="J44" s="153"/>
    </row>
    <row r="45" spans="1:19" ht="16" customHeight="1" x14ac:dyDescent="0.2"/>
    <row r="46" spans="1:19" ht="16" customHeight="1" x14ac:dyDescent="0.2">
      <c r="A46" s="154" t="s">
        <v>41</v>
      </c>
      <c r="B46" s="154"/>
      <c r="C46" s="154"/>
      <c r="D46" s="154"/>
      <c r="E46" s="154"/>
      <c r="F46" s="154"/>
      <c r="G46" s="154"/>
      <c r="H46" s="154"/>
      <c r="I46" s="154"/>
      <c r="J46" s="154"/>
    </row>
    <row r="47" spans="1:19" ht="18" customHeight="1" x14ac:dyDescent="0.2">
      <c r="A47" s="12" t="s">
        <v>2</v>
      </c>
      <c r="B47" s="153" t="s">
        <v>42</v>
      </c>
      <c r="C47" s="153"/>
      <c r="D47" s="153"/>
      <c r="E47" s="153"/>
      <c r="F47" s="153"/>
      <c r="G47" s="153"/>
      <c r="H47" s="153"/>
      <c r="I47" s="153"/>
      <c r="J47" s="153"/>
    </row>
    <row r="48" spans="1:19" ht="18" customHeight="1" x14ac:dyDescent="0.2">
      <c r="A48" s="12" t="s">
        <v>2</v>
      </c>
      <c r="B48" s="153" t="s">
        <v>43</v>
      </c>
      <c r="C48" s="153"/>
      <c r="D48" s="153"/>
      <c r="E48" s="153"/>
      <c r="F48" s="153"/>
      <c r="G48" s="153"/>
      <c r="H48" s="153"/>
      <c r="I48" s="153"/>
      <c r="J48" s="153"/>
      <c r="K48" s="153"/>
      <c r="L48" s="153"/>
      <c r="M48" s="153"/>
      <c r="N48" s="153"/>
      <c r="O48" s="153"/>
      <c r="P48" s="153"/>
      <c r="Q48" s="10"/>
      <c r="R48" s="10"/>
      <c r="S48" s="10"/>
    </row>
    <row r="49" spans="1:19" ht="18" customHeight="1" x14ac:dyDescent="0.2">
      <c r="A49" s="12" t="s">
        <v>2</v>
      </c>
      <c r="B49" s="153" t="s">
        <v>138</v>
      </c>
      <c r="C49" s="153"/>
      <c r="D49" s="153"/>
      <c r="E49" s="153"/>
      <c r="F49" s="153"/>
      <c r="G49" s="153"/>
      <c r="H49" s="153"/>
      <c r="I49" s="153"/>
      <c r="J49" s="153"/>
      <c r="K49" s="153"/>
      <c r="L49" s="153"/>
      <c r="M49" s="153"/>
      <c r="N49" s="153"/>
      <c r="O49" s="153"/>
      <c r="P49" s="153"/>
      <c r="Q49" s="153"/>
      <c r="R49" s="153"/>
      <c r="S49" s="153"/>
    </row>
    <row r="50" spans="1:19" ht="18" customHeight="1" x14ac:dyDescent="0.2">
      <c r="A50" s="12" t="s">
        <v>2</v>
      </c>
      <c r="B50" s="153" t="s">
        <v>44</v>
      </c>
      <c r="C50" s="153"/>
      <c r="D50" s="153"/>
      <c r="E50" s="153"/>
      <c r="F50" s="153"/>
      <c r="G50" s="153"/>
      <c r="H50" s="153"/>
      <c r="I50" s="153"/>
      <c r="J50" s="153"/>
      <c r="K50" s="153"/>
      <c r="L50" s="153"/>
      <c r="M50" s="153"/>
      <c r="N50" s="153"/>
      <c r="O50" s="153"/>
      <c r="P50" s="153"/>
      <c r="Q50" s="153"/>
      <c r="R50" s="153"/>
    </row>
    <row r="51" spans="1:19" ht="18" customHeight="1" x14ac:dyDescent="0.2">
      <c r="A51" s="12" t="s">
        <v>2</v>
      </c>
      <c r="B51" s="153" t="s">
        <v>45</v>
      </c>
      <c r="C51" s="153"/>
      <c r="D51" s="153"/>
      <c r="E51" s="153"/>
      <c r="F51" s="153"/>
      <c r="G51" s="153"/>
      <c r="H51" s="153"/>
      <c r="I51" s="153"/>
      <c r="J51" s="153"/>
    </row>
    <row r="52" spans="1:19" ht="16" customHeight="1" x14ac:dyDescent="0.2">
      <c r="A52" s="12"/>
      <c r="B52" s="153"/>
      <c r="C52" s="153"/>
      <c r="D52" s="153"/>
      <c r="E52" s="153"/>
      <c r="F52" s="153"/>
      <c r="G52" s="153"/>
      <c r="H52" s="153"/>
      <c r="I52" s="153"/>
      <c r="J52" s="153"/>
    </row>
    <row r="53" spans="1:19" ht="16" customHeight="1" x14ac:dyDescent="0.2">
      <c r="A53" s="154" t="s">
        <v>46</v>
      </c>
      <c r="B53" s="154"/>
      <c r="C53" s="154"/>
      <c r="D53" s="154"/>
      <c r="E53" s="154"/>
      <c r="F53" s="154"/>
      <c r="G53" s="154"/>
      <c r="H53" s="154"/>
      <c r="I53" s="154"/>
      <c r="J53" s="154"/>
    </row>
    <row r="54" spans="1:19" ht="18" customHeight="1" x14ac:dyDescent="0.2">
      <c r="A54" s="12" t="s">
        <v>2</v>
      </c>
      <c r="B54" s="153" t="s">
        <v>57</v>
      </c>
      <c r="C54" s="153"/>
      <c r="D54" s="153"/>
      <c r="E54" s="153"/>
      <c r="F54" s="153"/>
      <c r="G54" s="153"/>
      <c r="H54" s="153"/>
      <c r="I54" s="153"/>
      <c r="J54" s="153"/>
      <c r="K54" s="153"/>
      <c r="L54" s="153"/>
    </row>
    <row r="55" spans="1:19" ht="16" customHeight="1" x14ac:dyDescent="0.2"/>
    <row r="56" spans="1:19" ht="16" customHeight="1" x14ac:dyDescent="0.2">
      <c r="A56" s="154" t="s">
        <v>47</v>
      </c>
      <c r="B56" s="154"/>
      <c r="C56" s="154"/>
      <c r="D56" s="154"/>
      <c r="E56" s="154"/>
      <c r="F56" s="154"/>
      <c r="G56" s="154"/>
      <c r="H56" s="154"/>
      <c r="I56" s="154"/>
      <c r="J56" s="154"/>
    </row>
    <row r="57" spans="1:19" ht="18" customHeight="1" x14ac:dyDescent="0.2">
      <c r="A57" s="12" t="s">
        <v>2</v>
      </c>
      <c r="B57" s="153" t="s">
        <v>48</v>
      </c>
      <c r="C57" s="153"/>
      <c r="D57" s="153"/>
      <c r="E57" s="153"/>
      <c r="F57" s="153"/>
      <c r="G57" s="153"/>
      <c r="H57" s="153"/>
      <c r="I57" s="153"/>
      <c r="J57" s="153"/>
    </row>
    <row r="58" spans="1:19" ht="18" customHeight="1" x14ac:dyDescent="0.2">
      <c r="A58" s="12" t="s">
        <v>2</v>
      </c>
      <c r="B58" s="153" t="s">
        <v>49</v>
      </c>
      <c r="C58" s="153"/>
      <c r="D58" s="153"/>
      <c r="E58" s="153"/>
      <c r="F58" s="153"/>
      <c r="G58" s="153"/>
      <c r="H58" s="153"/>
      <c r="I58" s="153"/>
      <c r="J58" s="153"/>
      <c r="K58" s="153"/>
      <c r="L58" s="153"/>
      <c r="M58" s="153"/>
      <c r="N58" s="153"/>
      <c r="O58" s="153"/>
      <c r="P58" s="153"/>
      <c r="Q58" s="10"/>
      <c r="R58" s="10"/>
      <c r="S58" s="10"/>
    </row>
    <row r="59" spans="1:19" ht="16" customHeight="1" x14ac:dyDescent="0.2"/>
    <row r="60" spans="1:19" ht="16" customHeight="1" x14ac:dyDescent="0.2">
      <c r="A60" s="154" t="s">
        <v>50</v>
      </c>
      <c r="B60" s="154"/>
      <c r="C60" s="154"/>
      <c r="D60" s="154"/>
      <c r="E60" s="154"/>
      <c r="F60" s="154"/>
      <c r="G60" s="154"/>
      <c r="H60" s="154"/>
      <c r="I60" s="154"/>
      <c r="J60" s="154"/>
    </row>
    <row r="61" spans="1:19" ht="18" customHeight="1" x14ac:dyDescent="0.2">
      <c r="A61" s="12" t="s">
        <v>2</v>
      </c>
      <c r="B61" s="153" t="s">
        <v>51</v>
      </c>
      <c r="C61" s="153"/>
      <c r="D61" s="153"/>
      <c r="E61" s="153"/>
      <c r="F61" s="153"/>
      <c r="G61" s="153"/>
      <c r="H61" s="153"/>
      <c r="I61" s="153"/>
      <c r="J61" s="153"/>
    </row>
    <row r="62" spans="1:19" ht="18" customHeight="1" x14ac:dyDescent="0.2">
      <c r="A62" s="12" t="s">
        <v>2</v>
      </c>
      <c r="B62" s="153" t="s">
        <v>52</v>
      </c>
      <c r="C62" s="153"/>
      <c r="D62" s="153"/>
      <c r="E62" s="153"/>
      <c r="F62" s="153"/>
      <c r="G62" s="153"/>
      <c r="H62" s="153"/>
      <c r="I62" s="153"/>
      <c r="J62" s="153"/>
      <c r="K62" s="153"/>
      <c r="L62" s="153"/>
      <c r="M62" s="153"/>
      <c r="N62" s="153"/>
      <c r="O62" s="153"/>
      <c r="P62" s="153"/>
      <c r="Q62" s="10"/>
      <c r="R62" s="10"/>
      <c r="S62" s="10"/>
    </row>
    <row r="63" spans="1:19" ht="18" customHeight="1" x14ac:dyDescent="0.2">
      <c r="A63" s="12" t="s">
        <v>2</v>
      </c>
      <c r="B63" s="153" t="s">
        <v>53</v>
      </c>
      <c r="C63" s="153"/>
      <c r="D63" s="153"/>
      <c r="E63" s="153"/>
      <c r="F63" s="153"/>
      <c r="G63" s="153"/>
      <c r="H63" s="153"/>
      <c r="I63" s="153"/>
      <c r="J63" s="153"/>
      <c r="K63" s="153"/>
      <c r="L63" s="153"/>
      <c r="M63" s="153"/>
      <c r="N63" s="153"/>
      <c r="O63" s="153"/>
      <c r="P63" s="153"/>
      <c r="Q63" s="153"/>
      <c r="R63" s="153"/>
      <c r="S63" s="153"/>
    </row>
    <row r="64" spans="1:19" ht="18" customHeight="1" x14ac:dyDescent="0.2">
      <c r="A64" s="12" t="s">
        <v>2</v>
      </c>
      <c r="B64" s="153" t="s">
        <v>54</v>
      </c>
      <c r="C64" s="153"/>
      <c r="D64" s="153"/>
      <c r="E64" s="153"/>
      <c r="F64" s="153"/>
      <c r="G64" s="153"/>
      <c r="H64" s="153"/>
      <c r="I64" s="153"/>
      <c r="J64" s="153"/>
      <c r="K64" s="153"/>
      <c r="L64" s="153"/>
      <c r="M64" s="153"/>
      <c r="N64" s="153"/>
      <c r="O64" s="153"/>
      <c r="P64" s="153"/>
      <c r="Q64" s="153"/>
      <c r="R64" s="153"/>
    </row>
    <row r="65" spans="1:10" ht="16" customHeight="1" x14ac:dyDescent="0.2">
      <c r="A65" s="12"/>
      <c r="B65" s="153"/>
      <c r="C65" s="153"/>
      <c r="D65" s="153"/>
      <c r="E65" s="153"/>
      <c r="F65" s="153"/>
      <c r="G65" s="153"/>
      <c r="H65" s="153"/>
      <c r="I65" s="153"/>
      <c r="J65" s="153"/>
    </row>
  </sheetData>
  <mergeCells count="60">
    <mergeCell ref="B62:P62"/>
    <mergeCell ref="B63:S63"/>
    <mergeCell ref="B64:R64"/>
    <mergeCell ref="B65:J65"/>
    <mergeCell ref="Q1:R1"/>
    <mergeCell ref="B54:L54"/>
    <mergeCell ref="A56:J56"/>
    <mergeCell ref="B57:J57"/>
    <mergeCell ref="B58:P58"/>
    <mergeCell ref="A60:J60"/>
    <mergeCell ref="B61:J61"/>
    <mergeCell ref="B48:P48"/>
    <mergeCell ref="B49:S49"/>
    <mergeCell ref="B50:R50"/>
    <mergeCell ref="B51:J51"/>
    <mergeCell ref="B52:J52"/>
    <mergeCell ref="B39:J39"/>
    <mergeCell ref="B40:M40"/>
    <mergeCell ref="A53:J53"/>
    <mergeCell ref="B41:K41"/>
    <mergeCell ref="B42:J42"/>
    <mergeCell ref="B43:J43"/>
    <mergeCell ref="B44:J44"/>
    <mergeCell ref="A46:J46"/>
    <mergeCell ref="B47:J47"/>
    <mergeCell ref="B33:K33"/>
    <mergeCell ref="A34:J34"/>
    <mergeCell ref="B35:J35"/>
    <mergeCell ref="B36:P36"/>
    <mergeCell ref="B37:S37"/>
    <mergeCell ref="B29:S29"/>
    <mergeCell ref="B30:J30"/>
    <mergeCell ref="B31:J31"/>
    <mergeCell ref="B32:J32"/>
    <mergeCell ref="B22:K22"/>
    <mergeCell ref="B23:J23"/>
    <mergeCell ref="B24:J24"/>
    <mergeCell ref="A26:J26"/>
    <mergeCell ref="B27:J27"/>
    <mergeCell ref="B38:N38"/>
    <mergeCell ref="A15:J15"/>
    <mergeCell ref="A4:J4"/>
    <mergeCell ref="B5:J5"/>
    <mergeCell ref="B6:J6"/>
    <mergeCell ref="B7:J7"/>
    <mergeCell ref="B8:J8"/>
    <mergeCell ref="B9:J9"/>
    <mergeCell ref="B10:J10"/>
    <mergeCell ref="B12:J12"/>
    <mergeCell ref="B13:J13"/>
    <mergeCell ref="B28:P28"/>
    <mergeCell ref="B16:J16"/>
    <mergeCell ref="B19:J19"/>
    <mergeCell ref="B21:J21"/>
    <mergeCell ref="B20:M20"/>
    <mergeCell ref="B11:M11"/>
    <mergeCell ref="K1:L1"/>
    <mergeCell ref="M1:N1"/>
    <mergeCell ref="B17:N17"/>
    <mergeCell ref="B18:N18"/>
  </mergeCells>
  <pageMargins left="0.7" right="0.7" top="0.75" bottom="0.75" header="0.3" footer="0.3"/>
  <pageSetup orientation="portrait" horizontalDpi="0"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52"/>
  <dimension ref="K1:T4"/>
  <sheetViews>
    <sheetView showGridLines="0" zoomScale="90" zoomScaleNormal="90" workbookViewId="0"/>
  </sheetViews>
  <sheetFormatPr baseColWidth="10" defaultRowHeight="16" x14ac:dyDescent="0.2"/>
  <cols>
    <col min="11" max="11" width="2.6640625" customWidth="1"/>
  </cols>
  <sheetData>
    <row r="1" spans="11:20" ht="72" customHeight="1" x14ac:dyDescent="0.2">
      <c r="K1" s="115" t="s">
        <v>134</v>
      </c>
      <c r="L1" s="116"/>
      <c r="M1" s="114"/>
      <c r="N1" s="114"/>
      <c r="O1" s="1"/>
      <c r="Q1" s="15"/>
      <c r="R1" s="20"/>
      <c r="S1" s="155"/>
      <c r="T1" s="155"/>
    </row>
    <row r="2" spans="11:20" ht="19" customHeight="1" x14ac:dyDescent="0.2">
      <c r="K2" s="35"/>
      <c r="P2" s="156"/>
      <c r="Q2" s="1"/>
      <c r="R2" s="22"/>
      <c r="S2" s="22"/>
    </row>
    <row r="3" spans="11:20" ht="16" customHeight="1" x14ac:dyDescent="0.2">
      <c r="K3" s="114"/>
      <c r="P3" s="156"/>
      <c r="R3" s="22"/>
      <c r="S3" s="22"/>
    </row>
    <row r="4" spans="11:20" ht="16" customHeight="1" x14ac:dyDescent="0.2">
      <c r="K4" s="114"/>
      <c r="P4" s="156"/>
      <c r="R4" s="22"/>
      <c r="S4" s="22"/>
    </row>
  </sheetData>
  <sheetProtection selectLockedCells="1" selectUnlockedCells="1"/>
  <mergeCells count="5">
    <mergeCell ref="S1:T1"/>
    <mergeCell ref="P2:P4"/>
    <mergeCell ref="K3:K4"/>
    <mergeCell ref="K1:L1"/>
    <mergeCell ref="M1:N1"/>
  </mergeCells>
  <pageMargins left="0.70866141732283472" right="0.70866141732283472" top="0.74803149606299213" bottom="0.74803149606299213" header="0.31496062992125984" footer="0.31496062992125984"/>
  <pageSetup paperSize="9"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13</vt:i4>
      </vt:variant>
      <vt:variant>
        <vt:lpstr>Rangos con nombre</vt:lpstr>
      </vt:variant>
      <vt:variant>
        <vt:i4>3</vt:i4>
      </vt:variant>
    </vt:vector>
  </HeadingPairs>
  <TitlesOfParts>
    <vt:vector size="16" baseType="lpstr">
      <vt:lpstr>Inicio</vt:lpstr>
      <vt:lpstr>Agradecimiento</vt:lpstr>
      <vt:lpstr>Contenido</vt:lpstr>
      <vt:lpstr>Metodologia</vt:lpstr>
      <vt:lpstr>Empresas Participantes</vt:lpstr>
      <vt:lpstr>Estudio de Mercado General</vt:lpstr>
      <vt:lpstr>Distribución de Compensación</vt:lpstr>
      <vt:lpstr>Market Analyzer</vt:lpstr>
      <vt:lpstr>Explicación TCR</vt:lpstr>
      <vt:lpstr>Acerca de AC Consulting</vt:lpstr>
      <vt:lpstr>Acerca de AC Consulting </vt:lpstr>
      <vt:lpstr>Portafolio de Productos</vt:lpstr>
      <vt:lpstr>Contacto</vt:lpstr>
      <vt:lpstr>Agradecimiento!Área_de_impresión</vt:lpstr>
      <vt:lpstr>Contenido!Área_de_impresión</vt:lpstr>
      <vt:lpstr>'Empresas Participantes'!Área_de_impresión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Julio Contreras</cp:lastModifiedBy>
  <cp:lastPrinted>2021-10-08T21:52:26Z</cp:lastPrinted>
  <dcterms:created xsi:type="dcterms:W3CDTF">2019-08-15T15:58:23Z</dcterms:created>
  <dcterms:modified xsi:type="dcterms:W3CDTF">2026-10-01T13:40:13Z</dcterms:modified>
</cp:coreProperties>
</file>