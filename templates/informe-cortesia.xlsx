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codeName="ThisWorkbook" defaultThemeVersion="166925"/>
  <mc:AlternateContent xmlns:mc="http://schemas.openxmlformats.org/markup-compatibility/2006">
    <mc:Choice Requires="x15">
      <x15ac:absPath xmlns:x15ac="http://schemas.microsoft.com/office/spreadsheetml/2010/11/ac" url="/Users/juliocontreras/Downloads/"/>
    </mc:Choice>
  </mc:AlternateContent>
  <xr:revisionPtr revIDLastSave="0" documentId="13_ncr:1_{160068D1-4FFA-1547-B861-4C94B64FE4B3}" xr6:coauthVersionLast="47" xr6:coauthVersionMax="47" xr10:uidLastSave="{00000000-0000-0000-0000-000000000000}"/>
  <bookViews>
    <workbookView xWindow="0" yWindow="0" windowWidth="38400" windowHeight="21600" xr2:uid="{00000000-000D-0000-FFFF-FFFF00000000}"/>
  </bookViews>
  <sheets>
    <sheet name="Inicio" sheetId="219" r:id="rId1"/>
    <sheet name="Agradecimiento" sheetId="169" r:id="rId2"/>
    <sheet name="Contenido" sheetId="170" r:id="rId3"/>
    <sheet name="Empresas Participantes" sheetId="214" r:id="rId4"/>
    <sheet name="Estudio de Mercado General" sheetId="212" r:id="rId5"/>
    <sheet name="Distribución de Compensación" sheetId="220" r:id="rId6"/>
    <sheet name="Market Analyzer" sheetId="134" r:id="rId7"/>
    <sheet name="Explicación TCR" sheetId="221" r:id="rId8"/>
    <sheet name="Acerca de AC Consulting" sheetId="213" r:id="rId9"/>
    <sheet name="Acerca de AC Consulting " sheetId="173" r:id="rId10"/>
    <sheet name="Portafolio de Productos" sheetId="174" r:id="rId11"/>
    <sheet name="Contacto" sheetId="175" r:id="rId12"/>
  </sheets>
  <definedNames>
    <definedName name="_xlnm._FilterDatabase" localSheetId="6" hidden="1">'Market Analyzer'!$A$6:$H$6</definedName>
    <definedName name="AcF_Val">#REF!</definedName>
    <definedName name="AcI_Val">#REF!</definedName>
    <definedName name="AcM_Val">#REF!</definedName>
    <definedName name="administración">#REF!</definedName>
    <definedName name="andromedatech">#REF!</definedName>
    <definedName name="ArchivoCezane" localSheetId="0">#REF!</definedName>
    <definedName name="ArchivoCezane">#REF!</definedName>
    <definedName name="_xlnm.Print_Area" localSheetId="1">Agradecimiento!$A$1:$M$20</definedName>
    <definedName name="_xlnm.Print_Area" localSheetId="2">Contenido!$A$1:$N$12</definedName>
    <definedName name="_xlnm.Print_Area" localSheetId="3">'Empresas Participantes'!$A$1:$K$61</definedName>
    <definedName name="bae" localSheetId="5">#REF!</definedName>
    <definedName name="bae" localSheetId="3">#REF!</definedName>
    <definedName name="bae">#REF!</definedName>
    <definedName name="capital_humano">#REF!</definedName>
    <definedName name="cervecentro">#REF!</definedName>
    <definedName name="Cod">#REF!</definedName>
    <definedName name="CodigoHewitt">#REF!</definedName>
    <definedName name="connectium">#REF!</definedName>
    <definedName name="Datacargosgeneral" localSheetId="0">#REF!</definedName>
    <definedName name="Datacargosgeneral">#REF!</definedName>
    <definedName name="Datacargostecnologia" localSheetId="0">#REF!</definedName>
    <definedName name="Datacargostecnologia">#REF!</definedName>
    <definedName name="Datacliente" localSheetId="5">#REF!</definedName>
    <definedName name="Datacliente" localSheetId="0">#REF!</definedName>
    <definedName name="Datacliente">#REF!</definedName>
    <definedName name="Datageneral">#REF!</definedName>
    <definedName name="Datagradosgeneral" localSheetId="5">#REF!</definedName>
    <definedName name="Datagradosgeneral" localSheetId="0">#REF!</definedName>
    <definedName name="Datagradosgeneral">#REF!</definedName>
    <definedName name="Datagradostecnologia" localSheetId="0">#REF!</definedName>
    <definedName name="Datagradostecnologia">#REF!</definedName>
    <definedName name="Dataselectoa">#REF!</definedName>
    <definedName name="Dirección">#REF!</definedName>
    <definedName name="ekiipago">#REF!</definedName>
    <definedName name="ESTUDIOMD" localSheetId="0">#REF!</definedName>
    <definedName name="ESTUDIOMD">#REF!</definedName>
    <definedName name="excel" localSheetId="3">#REF!</definedName>
    <definedName name="excel" localSheetId="0">#REF!</definedName>
    <definedName name="excel">#REF!</definedName>
    <definedName name="Format2Print">#REF!</definedName>
    <definedName name="gradosselectob">#REF!</definedName>
    <definedName name="holadoc">#REF!</definedName>
    <definedName name="KHB_Val">#REF!</definedName>
    <definedName name="KHHRS_Val">#REF!</definedName>
    <definedName name="LetterVal">#REF!</definedName>
    <definedName name="LProf">#REF!</definedName>
    <definedName name="mde" localSheetId="5">#REF!</definedName>
    <definedName name="mde" localSheetId="3">#REF!</definedName>
    <definedName name="mde">#REF!</definedName>
    <definedName name="online1" localSheetId="3">#REF!</definedName>
    <definedName name="online1" localSheetId="0">#REF!</definedName>
    <definedName name="online1">#REF!</definedName>
    <definedName name="operaciones">#REF!</definedName>
    <definedName name="PROFIL">#REF!</definedName>
    <definedName name="proyectos">#REF!</definedName>
    <definedName name="PSC_Val">#REF!</definedName>
    <definedName name="PSF_Val">#REF!</definedName>
    <definedName name="rme" localSheetId="5">#REF!</definedName>
    <definedName name="rme" localSheetId="3">#REF!</definedName>
    <definedName name="rme">#REF!</definedName>
    <definedName name="servicios_generales">#REF!</definedName>
    <definedName name="tecnología">#REF!</definedName>
    <definedName name="todos">#REF!</definedName>
    <definedName name="transversales">#REF!</definedName>
    <definedName name="valoracion" localSheetId="0">#REF!</definedName>
    <definedName name="valoracion">#REF!</definedName>
    <definedName name="vent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0" i="221" l="1"/>
  <c r="H19" i="221"/>
  <c r="H18" i="221"/>
  <c r="H21" i="221"/>
  <c r="G21" i="221"/>
  <c r="G20" i="221"/>
  <c r="G19" i="221"/>
  <c r="G18" i="221"/>
  <c r="F20" i="221"/>
  <c r="F19" i="221"/>
  <c r="E21" i="221"/>
  <c r="F18" i="221"/>
  <c r="F21" i="221"/>
</calcChain>
</file>

<file path=xl/sharedStrings.xml><?xml version="1.0" encoding="utf-8"?>
<sst xmlns="http://schemas.openxmlformats.org/spreadsheetml/2006/main" count="751" uniqueCount="498">
  <si>
    <t>FECHA:</t>
  </si>
  <si>
    <t>EMPRESAS PARTICIPANTES</t>
  </si>
  <si>
    <t>-</t>
  </si>
  <si>
    <t>ESTUDIO DE MERCADO GENERAL</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</si>
  <si>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</si>
  <si>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</si>
  <si>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</si>
  <si>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</si>
  <si>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</si>
  <si>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</si>
  <si>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</si>
  <si>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</si>
  <si>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</si>
  <si>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</si>
  <si>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</si>
  <si>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</si>
  <si>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</si>
  <si>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</si>
  <si>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</si>
  <si>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</si>
  <si>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</si>
  <si>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</si>
  <si>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</si>
  <si>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</si>
  <si>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</si>
  <si>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</si>
  <si>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</si>
  <si>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</si>
  <si>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</si>
  <si>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</si>
  <si>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</si>
  <si>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</si>
  <si>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</si>
  <si>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</si>
  <si>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</si>
  <si>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</si>
  <si>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</si>
  <si>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</si>
  <si>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</si>
  <si>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</si>
  <si>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</si>
  <si>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</si>
  <si>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</si>
  <si>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</si>
  <si>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</si>
  <si>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</si>
  <si>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</si>
  <si>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</si>
  <si>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</si>
  <si>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</si>
  <si>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</si>
  <si>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</si>
  <si>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</si>
  <si>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</si>
  <si>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</si>
  <si>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</si>
  <si>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</si>
  <si>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</si>
  <si>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</si>
  <si>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Gerente de Contabilidad</t>
  </si>
  <si>
    <t>Gerente de Crédito y Cobranzas</t>
  </si>
  <si>
    <t>Gerente de Tesorería</t>
  </si>
  <si>
    <t>Auditor Senior</t>
  </si>
  <si>
    <t>Auditor Junior</t>
  </si>
  <si>
    <t>Especialista de Impuestos</t>
  </si>
  <si>
    <t>Analista de Tesorería</t>
  </si>
  <si>
    <t>Analista de Crédito y Cobranzas</t>
  </si>
  <si>
    <t>Analista de Cuentas por Pagar</t>
  </si>
  <si>
    <t>Analista Contable Sr.</t>
  </si>
  <si>
    <t>Analista Contable Jr.</t>
  </si>
  <si>
    <t>Participantes</t>
  </si>
  <si>
    <t>Planificador de Compras</t>
  </si>
  <si>
    <t>Gerente de Importación</t>
  </si>
  <si>
    <t>Analista de Importación</t>
  </si>
  <si>
    <t>Analista de Nómina</t>
  </si>
  <si>
    <t>Analista de RRHH Sr.</t>
  </si>
  <si>
    <t>Analista de RRHH Jr.</t>
  </si>
  <si>
    <t>Abogado</t>
  </si>
  <si>
    <t>Gerente de Infraestructura</t>
  </si>
  <si>
    <t>Administrador de Bases de Datos</t>
  </si>
  <si>
    <t>Secretaria Ejecutiva</t>
  </si>
  <si>
    <t>Asistente Administrativo</t>
  </si>
  <si>
    <t>Operador de Limpieza</t>
  </si>
  <si>
    <t>Gerente Regional de Ventas</t>
  </si>
  <si>
    <t>Analista de Mercadeo</t>
  </si>
  <si>
    <t>Gerente General Logística y Distribución</t>
  </si>
  <si>
    <t>Despachador</t>
  </si>
  <si>
    <t>Supervisor Regional de Operaciones</t>
  </si>
  <si>
    <t>Inspector de Protección Integral/ Seguridad</t>
  </si>
  <si>
    <t>Gerente General</t>
  </si>
  <si>
    <t>MARKET ANALYZER</t>
  </si>
  <si>
    <t>DATA:</t>
  </si>
  <si>
    <t>Diseño, gobernabilidad y desarrollo de programas de compensación variable para niveles ejecutivos, tácticos, operativos y fuerza de ventas</t>
  </si>
  <si>
    <t>Para este análisis se integraron todos los pagos reportados por el mercado (Salario mensual, Bono de alimentación, Otros pagos fijos mensuales (con y sin impacto), Pago en moneda dura mensual.</t>
  </si>
  <si>
    <t>Niveles</t>
  </si>
  <si>
    <t>Gerente de Legal / Consultor Jurídico</t>
  </si>
  <si>
    <t>Gerente General de Sistemas / Director de TI</t>
  </si>
  <si>
    <t>Gerente de IT / Gerente de Sistemas</t>
  </si>
  <si>
    <t>Jefe de Sistemas / Coordinador de Sistemas o TI</t>
  </si>
  <si>
    <t>Analista de Sistemas / Soporte Técnico</t>
  </si>
  <si>
    <t>Desarrollador Front End</t>
  </si>
  <si>
    <t>Desarrollador Full Stack</t>
  </si>
  <si>
    <t>Coordinador/ Supervisor de Infraestructura</t>
  </si>
  <si>
    <t>Analista de Infraestructura / Analista de Redes</t>
  </si>
  <si>
    <t>Jefe de Administración / Coord. de Administración</t>
  </si>
  <si>
    <t>Analista Administrativo</t>
  </si>
  <si>
    <t>Jefe de Tesorería / Coordinador de Tesorería</t>
  </si>
  <si>
    <t>Jefe / Coord. de Crédito y Cobranzas</t>
  </si>
  <si>
    <t>Jefe / Coord. De Cuentas por Pagar</t>
  </si>
  <si>
    <t>Jefe de Contabilidad / Coor. de Contabilidad</t>
  </si>
  <si>
    <t>Auxiliar Contable</t>
  </si>
  <si>
    <t>Jefe de Impuesto / Coord. de Impuestos</t>
  </si>
  <si>
    <t>Jefe de Auditoría / Coor. de Auditoría</t>
  </si>
  <si>
    <t>Jefe de Nómina / Coord. de Nómina</t>
  </si>
  <si>
    <t>Gerente de Compensación y Beneficios</t>
  </si>
  <si>
    <t>Especialista de Compensación y Beneficios</t>
  </si>
  <si>
    <t>Gerente de Servicios Generales</t>
  </si>
  <si>
    <t>Jefe / Coord. de Servicios Generales</t>
  </si>
  <si>
    <t>Gerente de Marca / Producto</t>
  </si>
  <si>
    <t>Gerente General de Ventas / Director de Ventas</t>
  </si>
  <si>
    <t>Supervisor / Coord. de Ventas</t>
  </si>
  <si>
    <t>Jefe / Coord. de Compras</t>
  </si>
  <si>
    <t>Analista de Compras / Comprador</t>
  </si>
  <si>
    <t>Gerente de Planta</t>
  </si>
  <si>
    <t>Gerente de Calidad</t>
  </si>
  <si>
    <t>Ingeniero de Calidad / Analista de Calidad</t>
  </si>
  <si>
    <t>Jefe / Coord. de Producción</t>
  </si>
  <si>
    <t>Operario de Producción</t>
  </si>
  <si>
    <t>Jefe / Coord. / Supervisor de Almacén</t>
  </si>
  <si>
    <t>Almacenista / Depositario</t>
  </si>
  <si>
    <t>Montacarguista / Operador Montacarga</t>
  </si>
  <si>
    <t>Asistente Administrativo SG</t>
  </si>
  <si>
    <t>Concepto</t>
  </si>
  <si>
    <t>Elementos de Pago</t>
  </si>
  <si>
    <t xml:space="preserve">Síguenos:
</t>
  </si>
  <si>
    <t>Síguenos:</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</si>
  <si>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sobre la base de las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</si>
  <si>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Gestión y administración de cálculo, retención y pago de contribuciones parafiscales ante Entes Gubernamentales, tales como: Seguro social, INCES, Ministerio Para el Poder Popular del trabajo y otros</t>
  </si>
  <si>
    <t>Análisis y recomendaciones sobre la base de los resultados de encuesta</t>
  </si>
  <si>
    <t>Gerente de Gestión Estratégica / Planificación Estratégica</t>
  </si>
  <si>
    <t>Oficial de Cumplimiento</t>
  </si>
  <si>
    <t>Minimo</t>
  </si>
  <si>
    <t>Maximo</t>
  </si>
  <si>
    <t>Promedio</t>
  </si>
  <si>
    <t>Operador de Carga de Datos</t>
  </si>
  <si>
    <t>Coordinador / Supervisor Organización y Metodos</t>
  </si>
  <si>
    <t>Analista de Organización y Metodos</t>
  </si>
  <si>
    <t>Coordinador / Supervisor de Flota</t>
  </si>
  <si>
    <t>Aprendiz INCES</t>
  </si>
  <si>
    <t>Gerente General de Finanzas / Director de Finanzas</t>
  </si>
  <si>
    <t>Gerente de Administración y Finanzas</t>
  </si>
  <si>
    <t>RESULTADOS 2DA ENS AVGH 2026</t>
  </si>
  <si>
    <t>SEPTIEMBRE 2026</t>
  </si>
  <si>
    <t>JULIO 2026</t>
  </si>
  <si>
    <t>CLIENTE:</t>
  </si>
  <si>
    <t>Alimentos Alvarigua</t>
  </si>
  <si>
    <t>Total: 129 empresas</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</si>
  <si>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</si>
  <si>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</si>
  <si>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</si>
  <si>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</si>
  <si>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</si>
  <si>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</si>
  <si>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</si>
  <si>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</si>
  <si>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</si>
  <si>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</si>
  <si>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</si>
  <si>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</si>
  <si>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</si>
  <si>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</si>
  <si>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</si>
  <si>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</si>
  <si>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</si>
  <si>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</si>
  <si>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</si>
  <si>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</si>
  <si>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</si>
  <si>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</si>
  <si>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</si>
  <si>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</si>
  <si>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</si>
  <si>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</si>
  <si>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</si>
  <si>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</si>
  <si>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</si>
  <si>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</si>
  <si>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</si>
  <si>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</si>
  <si>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</si>
  <si>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</si>
  <si>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</si>
  <si>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</si>
  <si>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</si>
  <si>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</si>
  <si>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</si>
  <si>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</si>
  <si>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</si>
  <si>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</si>
  <si>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</si>
  <si>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</si>
  <si>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</si>
  <si>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</si>
  <si>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</si>
  <si>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</si>
  <si>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</si>
  <si>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</si>
  <si>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</si>
  <si>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</si>
  <si>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</si>
  <si>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</si>
  <si>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</si>
  <si>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</si>
  <si>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</si>
  <si>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</si>
  <si>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</si>
  <si>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</si>
  <si>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</si>
  <si>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</si>
  <si>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</si>
  <si>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</si>
  <si>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</si>
  <si>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</si>
  <si>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</si>
  <si>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</si>
  <si>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</si>
  <si>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</si>
  <si>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</si>
  <si>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</si>
  <si>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</si>
  <si>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</si>
  <si>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</si>
  <si>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</si>
  <si>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</si>
  <si>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</si>
  <si>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</si>
  <si>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</si>
  <si>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</si>
  <si>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</si>
  <si>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</si>
  <si>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</si>
  <si>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</si>
  <si>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</si>
  <si>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</si>
  <si>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</si>
  <si>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</si>
  <si>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</si>
  <si>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</si>
  <si>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</si>
  <si>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</si>
  <si>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</si>
  <si>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</si>
  <si>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</si>
  <si>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</si>
  <si>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</si>
  <si>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</si>
  <si>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</si>
  <si>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</si>
  <si>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</si>
  <si>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</si>
  <si>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Encuesta Nacional de Salarios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</si>
  <si>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</si>
  <si>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</si>
  <si>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</si>
  <si>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</si>
  <si>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</si>
  <si>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</si>
  <si>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</si>
  <si>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</si>
  <si>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</si>
  <si>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</si>
  <si>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</si>
  <si>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</si>
  <si>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</si>
  <si>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</si>
  <si>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</si>
  <si>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</si>
  <si>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</si>
  <si>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</si>
  <si>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</si>
  <si>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</si>
  <si>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</si>
  <si>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</si>
  <si>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</si>
  <si>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</si>
  <si>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</si>
  <si>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</si>
  <si>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</si>
  <si>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</si>
  <si>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</si>
  <si>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</si>
  <si>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</si>
  <si>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</si>
  <si>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</si>
  <si>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</si>
  <si>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</si>
  <si>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</si>
  <si>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</si>
  <si>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</si>
  <si>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Administrador de Contratos</t>
  </si>
  <si>
    <t>Ajustador / Perito (Autos / Patrimonial)</t>
  </si>
  <si>
    <t>Analista / Especialista en Seguridad y Salud Laboral</t>
  </si>
  <si>
    <t>Analista de Calidad de Servicio</t>
  </si>
  <si>
    <t>Analista de Costos</t>
  </si>
  <si>
    <t>Analista de Cumplimiento</t>
  </si>
  <si>
    <t>Analista de Inteligencia de Mercados</t>
  </si>
  <si>
    <t>Analista de PMO</t>
  </si>
  <si>
    <t>Analista de Reclamos</t>
  </si>
  <si>
    <t>Analista de Reposición</t>
  </si>
  <si>
    <t>Analista de Suscripción</t>
  </si>
  <si>
    <t>Analista de Trade Marketing</t>
  </si>
  <si>
    <t>Analista Integral (Suscripción / Reclamos)</t>
  </si>
  <si>
    <t>Arquitecto</t>
  </si>
  <si>
    <t>Asesor / Ejecutivo Comercial B2B (Venta Consultiva)</t>
  </si>
  <si>
    <t>Asistente / Auxiliar de Mantenimiento Industrial</t>
  </si>
  <si>
    <t>Ayudante Técnico</t>
  </si>
  <si>
    <t>Bioanalista / Técnico de Laboratorio</t>
  </si>
  <si>
    <t>Camarero(a) de Habitaciones</t>
  </si>
  <si>
    <t>CEO</t>
  </si>
  <si>
    <t>Chef</t>
  </si>
  <si>
    <t>Chief Commercial Officer (CCO)</t>
  </si>
  <si>
    <t>Chofer Repartidor / Conductor de Ruta</t>
  </si>
  <si>
    <t>Científico de Datos</t>
  </si>
  <si>
    <t>Cocinero de 1era</t>
  </si>
  <si>
    <t>Conductor Ejecutivo</t>
  </si>
  <si>
    <t>Content Manager / Copywriter</t>
  </si>
  <si>
    <t>Contralor General</t>
  </si>
  <si>
    <t>Coord. / Supervisor de Desarrollo</t>
  </si>
  <si>
    <t>Coordinador / Supervisor de Mercadeo</t>
  </si>
  <si>
    <t>Coordinador Administrativo de Sucursal</t>
  </si>
  <si>
    <t>Coordinador de Asuntos Legales</t>
  </si>
  <si>
    <t>Coordinador de Enfermería</t>
  </si>
  <si>
    <t>Coordinador de Proyectos</t>
  </si>
  <si>
    <t>Coordinador de Reclamos</t>
  </si>
  <si>
    <t>Coordinador de Reclutamiento</t>
  </si>
  <si>
    <t>Coordinador de Seguridad y Salud Laboral</t>
  </si>
  <si>
    <t>Coordinador de Suscripción</t>
  </si>
  <si>
    <t>Coordinador de Trade Marketing</t>
  </si>
  <si>
    <t>Desarrollador Back End</t>
  </si>
  <si>
    <t>Director / Gerente Actuarial</t>
  </si>
  <si>
    <t>Director / Gerente de Auditoría Interna</t>
  </si>
  <si>
    <t>Director de Customer Experience / Atención al Cliente</t>
  </si>
  <si>
    <t>Director de Datos (CDO)</t>
  </si>
  <si>
    <t>Director de PMO</t>
  </si>
  <si>
    <t>Diseñador Gráfico / Creativo</t>
  </si>
  <si>
    <t>Ejecutivo / Agente de Atención al Cliente</t>
  </si>
  <si>
    <t>Ejecutivo de Inside Sales (Telefónica / Remota)</t>
  </si>
  <si>
    <t>Ejecutivo de Ventas B2C (Consumo Masivo / Terreno)</t>
  </si>
  <si>
    <t>Ejecutivo de Ventas B2C (Retail / Tienda)</t>
  </si>
  <si>
    <t>Enfermero(a)</t>
  </si>
  <si>
    <t>Escolta</t>
  </si>
  <si>
    <t>Especialista de Mejora Continua</t>
  </si>
  <si>
    <t>Especialista de Talent Acquisition (Adquisición de Talento)</t>
  </si>
  <si>
    <t>Especialista en Desarrollo</t>
  </si>
  <si>
    <t>Especialista en E-commerce y Ventas Digitales</t>
  </si>
  <si>
    <t>Farmacéutico</t>
  </si>
  <si>
    <t>Gerente / Director de Seguridad Integral</t>
  </si>
  <si>
    <t>Gerente / Encargado de Tienda</t>
  </si>
  <si>
    <t>Gerente de Area de Ventas (Tienda por departamento)</t>
  </si>
  <si>
    <t>Gerente de Area en Entrenamiento</t>
  </si>
  <si>
    <t>Gerente de Atención al Cliente</t>
  </si>
  <si>
    <t>Gerente de Capital Humano</t>
  </si>
  <si>
    <t>Gerente de Costos</t>
  </si>
  <si>
    <t>Gerente de Cumplimiento</t>
  </si>
  <si>
    <t>Gerente de Gobernanza de Datos</t>
  </si>
  <si>
    <t>Gerente de Marketing Digital</t>
  </si>
  <si>
    <t>Gerente de Proyecto</t>
  </si>
  <si>
    <t>Gerente de Proyectos de Ingeniería</t>
  </si>
  <si>
    <t>Gerente de Reclamos</t>
  </si>
  <si>
    <t>Gerente de Sucursal</t>
  </si>
  <si>
    <t>Gerente de Suscripción</t>
  </si>
  <si>
    <t>Gerente de Talent Acquisition (Adquisición de Talento)</t>
  </si>
  <si>
    <t>Gerente de Trade Marketing</t>
  </si>
  <si>
    <t>Gerente General / Director de Capital Humano</t>
  </si>
  <si>
    <t>Gerente General de Compras</t>
  </si>
  <si>
    <t>Gerente General de Mercadeo / Director de Mercadeo</t>
  </si>
  <si>
    <t>Gerente General de Operaciones (COO)</t>
  </si>
  <si>
    <t>Gerente Regional de Sucursales</t>
  </si>
  <si>
    <t>Growth Data Analyst (Analista de Datos de Crecimiento)</t>
  </si>
  <si>
    <t>Growth Product Manager (Gerente de Producto - Crecimiento)</t>
  </si>
  <si>
    <t>HR Business Partner</t>
  </si>
  <si>
    <t>Ingeniero de Procesos</t>
  </si>
  <si>
    <t>Ingeniero de Proyectos</t>
  </si>
  <si>
    <t>Ingeniero Residente</t>
  </si>
  <si>
    <t>Jardinero</t>
  </si>
  <si>
    <t>Jefe / Coord. de Mantenimiento Industrial</t>
  </si>
  <si>
    <t>Jefe / Coordinador de Costos</t>
  </si>
  <si>
    <t>Jefe / Coordinador de Desarrollo</t>
  </si>
  <si>
    <t>Jefe de Centro de Distribución</t>
  </si>
  <si>
    <t>Jefe de Ciberseguridad</t>
  </si>
  <si>
    <t>Jefe de Reposición</t>
  </si>
  <si>
    <t>Jefe de Seguridad Operativa</t>
  </si>
  <si>
    <t>Líder / Ejecutivo de Cuentas Estratégicas (KAM)</t>
  </si>
  <si>
    <t>Maestro de Obra</t>
  </si>
  <si>
    <t>Médico Ocupacional</t>
  </si>
  <si>
    <t>Mensajero / Motorizado</t>
  </si>
  <si>
    <t>Mercaderista / Impulsador</t>
  </si>
  <si>
    <t>Oficiales de Seguridad / Vigilantes</t>
  </si>
  <si>
    <t>Operadores de Centro de Control</t>
  </si>
  <si>
    <t>Planificador de Proyectos</t>
  </si>
  <si>
    <t>Scrum Master</t>
  </si>
  <si>
    <t>Secretaria Ejecutiva Bilingüe</t>
  </si>
  <si>
    <t>Social Media Manager / Community Manager</t>
  </si>
  <si>
    <t>Sous Chef</t>
  </si>
  <si>
    <t>Supervisor Back up</t>
  </si>
  <si>
    <t>Supervisor de Atención al Cliente</t>
  </si>
  <si>
    <t>Supervisor de Mercaderistas</t>
  </si>
  <si>
    <t>Supervisor de Pisos</t>
  </si>
  <si>
    <t>Supervisor de Seguridad Física y Patrimonial</t>
  </si>
  <si>
    <t>Técnico de Mantenimiento (Electricista, Plomero, Mecánico)</t>
  </si>
  <si>
    <t>Técnico de Mantenimiento de Equipos Industrial</t>
  </si>
  <si>
    <t>Técnicos de Fármacos y Mezclas</t>
  </si>
  <si>
    <t>Técnicos de Mantenimiento de Sistemas de Seguridad</t>
  </si>
  <si>
    <t>Técnicos Radiólogos</t>
  </si>
  <si>
    <t>VP / Director Ramo</t>
  </si>
  <si>
    <t>Mes y año de cuando se descargo el informe</t>
  </si>
  <si>
    <t>Fecha cuando se proceso la data del informe</t>
  </si>
  <si>
    <t>DISTRIBUCIÓN DE COMPENSACIÓN</t>
  </si>
  <si>
    <t>No esta actualizando los sectores y tamaños de empresas</t>
  </si>
  <si>
    <t>FRECUENCIA MENSUAL</t>
  </si>
  <si>
    <t>OTRA FRECUENCIA</t>
  </si>
  <si>
    <t>VARIABLE</t>
  </si>
  <si>
    <t>Se le puede agregar la forma de pago (moneda de cuenta USD y Bs?)</t>
  </si>
  <si>
    <t>Cargos</t>
  </si>
  <si>
    <t>Unidad Funcional</t>
  </si>
  <si>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</si>
  <si>
    <t>Compensación Integral Mensual (CIM)</t>
  </si>
  <si>
    <t>Organizar cargos por las unidades funcionales</t>
  </si>
  <si>
    <t>Donde no haya datos o no haya suficientes mostrar ND</t>
  </si>
  <si>
    <t>Administración y Finanzas</t>
  </si>
  <si>
    <t>Contabilidad y Costos</t>
  </si>
  <si>
    <t>Auditoría</t>
  </si>
  <si>
    <t>Capital Humano</t>
  </si>
  <si>
    <t>Comercial y Ventas</t>
  </si>
  <si>
    <t>Mercadeo y Estrategia de Marca</t>
  </si>
  <si>
    <t>Trade Marketing</t>
  </si>
  <si>
    <t>Marketing Digital &amp; Comunicaciones</t>
  </si>
  <si>
    <t>Growth &amp; E-commerce (Crecimiento Digital)</t>
  </si>
  <si>
    <t>Director de Estrategia de Crecimiento (Growth)</t>
  </si>
  <si>
    <t>Operaciones y Producción</t>
  </si>
  <si>
    <t>Servicios Generales</t>
  </si>
  <si>
    <t>Tecnología / IT</t>
  </si>
  <si>
    <t>Especialista de Inteligencia Artificial (IA)</t>
  </si>
  <si>
    <t>Dirección</t>
  </si>
  <si>
    <t>Legal</t>
  </si>
  <si>
    <t>Compras / Procura</t>
  </si>
  <si>
    <t>Seguridad Integral y SSLA</t>
  </si>
  <si>
    <t>Logística y Distribución</t>
  </si>
  <si>
    <t>Atención al Cliente / Customer Service</t>
  </si>
  <si>
    <t>Customer Success Manager</t>
  </si>
  <si>
    <t>Cumplimiento / Compliance</t>
  </si>
  <si>
    <t>Chief Compliance Officer (CCO) / Director de Cumplimiento</t>
  </si>
  <si>
    <t>Oficina de Proyectos</t>
  </si>
  <si>
    <t>Gerente de Portafolio / Gerente de Programa</t>
  </si>
  <si>
    <t>SECTOR: Retail / Tiendas Físicas</t>
  </si>
  <si>
    <t>SECTOR: Construcción / IPC</t>
  </si>
  <si>
    <t>Proyectista</t>
  </si>
  <si>
    <t>Estimador de Costos</t>
  </si>
  <si>
    <t>SECTOR: Seguros</t>
  </si>
  <si>
    <t>Gerente de Recuperaciones</t>
  </si>
  <si>
    <t>Coordinador de Recuperaciones</t>
  </si>
  <si>
    <t>Analista de Recuperaciones</t>
  </si>
  <si>
    <t>SECTOR: Hotelería / Clubes</t>
  </si>
  <si>
    <t>Gerente / Director de Alimentos y Bebidas</t>
  </si>
  <si>
    <t>Supervisor de Ama de Llaves</t>
  </si>
  <si>
    <t>Ama de Llaves</t>
  </si>
  <si>
    <t>Guardavidas</t>
  </si>
  <si>
    <t>Gerente de Atención al Socio</t>
  </si>
  <si>
    <t>Jefe de Condominio</t>
  </si>
  <si>
    <t>Mesonero / Mesero</t>
  </si>
  <si>
    <t>SECTOR: Healthcare / Salud</t>
  </si>
  <si>
    <t>P50 - TCR BCV-USD</t>
  </si>
  <si>
    <t>P50</t>
  </si>
  <si>
    <t>¿QUÉ ES LA TASA DE CONVERSIÓN DE REFERENCIA (TCR) Y POR QUÉ LA USAMOS?</t>
  </si>
  <si>
    <t>1. CONCEPTO</t>
  </si>
  <si>
    <t>La TCR estandariza los datos salariales para reflejar el poder adquisitivo real (Compensación Equivalente).</t>
  </si>
  <si>
    <t>2. EL PROBLEMA</t>
  </si>
  <si>
    <t>Distorsión del mercado causada por diferentes tasas de cambio (BCV-USD, BCV-EURO, Tasa Libre, Directo en Divisas).</t>
  </si>
  <si>
    <t>3. LA SOLUCIÓN</t>
  </si>
  <si>
    <t>Fórmulas: Si se paga en Bs: Monto Bs / TCR. Si se paga en Divisas: (Monto Divisas * Tasa Libre) / TCR.</t>
  </si>
  <si>
    <t>Monto Nominal</t>
  </si>
  <si>
    <t>Moneda de Pago</t>
  </si>
  <si>
    <t>Método de Pago</t>
  </si>
  <si>
    <t>Salario Base</t>
  </si>
  <si>
    <t>Bs.</t>
  </si>
  <si>
    <t>USD</t>
  </si>
  <si>
    <t>Bs. (Tasa BCV)</t>
  </si>
  <si>
    <t>Bono Compensatorio</t>
  </si>
  <si>
    <t>Divisas (Efectivo)</t>
  </si>
  <si>
    <t>TOTALES</t>
  </si>
  <si>
    <t>- Benchmarking real</t>
  </si>
  <si>
    <t>- Premisa Cero Desmejora</t>
  </si>
  <si>
    <t>- Transparencia</t>
  </si>
  <si>
    <t>4. APLICACIÓN EN PAQUETES MIXTOS (EJEMPLO REAL)</t>
  </si>
  <si>
    <t>Contexto: 
Tasa BCV-USD: 800
Tasa BCV-EURO: 900
Tasa Libre: 970</t>
  </si>
  <si>
    <t>Monto Equivalente
(BCV-USD)</t>
  </si>
  <si>
    <t>5. IMPACTO ESTRATÉGICO</t>
  </si>
  <si>
    <t>EXPLICACIÓN TCR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</si>
</sst>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Bs.D&quot;* #,##0.00_ ;_ &quot;Bs.D&quot;* \-#,##0.00_ ;_ &quot;Bs.D&quot;* &quot;-&quot;??_ ;_ @_ "/>
    <numFmt numFmtId="43" formatCode="_ * #,##0.00_ ;_ * \-#,##0.00_ ;_ * &quot;-&quot;??_ ;_ @_ "/>
    <numFmt numFmtId="164" formatCode="_-[$$-540A]* #,##0_ ;_-[$$-540A]* \-#,##0\ ;_-[$$-540A]* &quot;-&quot;_ ;_-@_ "/>
    <numFmt numFmtId="169" formatCode="_-[$$-540A]* #,##0.00_ ;_-[$$-540A]* \-#,##0.00\ ;_-[$$-540A]* &quot;-&quot;??_ ;_-@_ "/>
  </numFmts>
  <fonts count="35" x14ac:knownFonts="1">
    <font>
      <sz val="12"/>
      <color theme="1"/>
      <name val="Calibri"/>
      <family val="2"/>
      <scheme val="minor"/>
    </font>
    <font>
      <i/>
      <sz val="12"/>
      <color theme="1"/>
      <name val="Calibri"/>
      <family val="2"/>
      <scheme val="minor"/>
    </font>
    <font>
      <i/>
      <sz val="18"/>
      <color theme="1"/>
      <name val="Calibri"/>
      <family val="2"/>
      <scheme val="minor"/>
    </font>
    <font>
      <sz val="18"/>
      <color theme="1"/>
      <name val="Calibri"/>
      <family val="2"/>
      <scheme val="minor"/>
    </font>
    <font>
      <i/>
      <sz val="12"/>
      <color theme="1"/>
      <name val="Calibri"/>
      <family val="2"/>
    </font>
    <font>
      <i/>
      <sz val="12"/>
      <color rgb="FF000000"/>
      <name val="Calibri"/>
      <family val="2"/>
      <scheme val="minor"/>
    </font>
    <font>
      <i/>
      <sz val="12"/>
      <color theme="1" tint="0.249977111117893"/>
      <name val="Calibri"/>
      <family val="2"/>
      <scheme val="minor"/>
    </font>
    <font>
      <i/>
      <sz val="14"/>
      <color theme="1"/>
      <name val="Calibri"/>
      <family val="2"/>
      <scheme val="minor"/>
    </font>
    <font>
      <u/>
      <sz val="12"/>
      <color theme="10"/>
      <name val="Calibri"/>
      <family val="2"/>
      <scheme val="minor"/>
    </font>
    <font>
      <sz val="10"/>
      <name val="Arial"/>
      <family val="2"/>
    </font>
    <font>
      <sz val="10"/>
      <color rgb="FF000000"/>
      <name val="Arial"/>
      <family val="2"/>
    </font>
    <font>
      <b/>
      <i/>
      <sz val="16"/>
      <color theme="1"/>
      <name val="Calibri"/>
      <family val="2"/>
      <scheme val="minor"/>
    </font>
    <font>
      <sz val="12"/>
      <color rgb="FF000000"/>
      <name val="Calibri"/>
      <family val="2"/>
      <scheme val="minor"/>
    </font>
    <font>
      <i/>
      <sz val="16"/>
      <color theme="1"/>
      <name val="Calibri"/>
      <family val="2"/>
      <scheme val="minor"/>
    </font>
    <font>
      <sz val="11"/>
      <color rgb="FF000000"/>
      <name val="Calibri"/>
      <family val="2"/>
      <scheme val="minor"/>
    </font>
    <font>
      <i/>
      <sz val="12"/>
      <name val="Arial"/>
      <family val="2"/>
    </font>
    <font>
      <i/>
      <sz val="10"/>
      <name val="Arial"/>
      <family val="2"/>
    </font>
    <font>
      <b/>
      <i/>
      <sz val="18"/>
      <color theme="1"/>
      <name val="Calibri"/>
      <family val="2"/>
      <scheme val="minor"/>
    </font>
    <font>
      <sz val="12"/>
      <color theme="1"/>
      <name val="Calibri"/>
      <family val="2"/>
      <scheme val="minor"/>
    </font>
    <font>
      <sz val="16"/>
      <color theme="1"/>
      <name val="Calibri"/>
      <family val="2"/>
      <scheme val="minor"/>
    </font>
    <font>
      <i/>
      <sz val="16"/>
      <color theme="0"/>
      <name val="Calibri"/>
      <family val="2"/>
      <scheme val="minor"/>
    </font>
    <font>
      <i/>
      <sz val="12"/>
      <color theme="0"/>
      <name val="Calibri"/>
      <family val="2"/>
      <scheme val="minor"/>
    </font>
    <font>
      <i/>
      <sz val="12"/>
      <color theme="2" tint="-0.749992370372631"/>
      <name val="Calibri"/>
      <family val="2"/>
      <scheme val="minor"/>
    </font>
    <font>
      <i/>
      <sz val="14"/>
      <color theme="1" tint="0.14999847407452621"/>
      <name val="Calibri"/>
      <family val="2"/>
      <scheme val="minor"/>
    </font>
    <font>
      <sz val="12"/>
      <color theme="1" tint="0.14999847407452621"/>
      <name val="Calibri"/>
      <family val="2"/>
      <scheme val="minor"/>
    </font>
    <font>
      <sz val="12"/>
      <color rgb="FF000000"/>
      <name val="Aptos Narrow"/>
    </font>
    <font>
      <sz val="12"/>
      <color theme="1"/>
      <name val="Calibri"/>
      <family val="2"/>
    </font>
    <font>
      <b/>
      <i/>
      <sz val="12"/>
      <color theme="0"/>
      <name val="Calibri"/>
      <family val="2"/>
      <scheme val="minor"/>
    </font>
    <font>
      <i/>
      <sz val="10"/>
      <name val="CalibrI"/>
      <family val="2"/>
    </font>
    <font>
      <i/>
      <sz val="18"/>
      <color theme="1"/>
      <name val="CalibrI"/>
      <family val="2"/>
    </font>
    <font>
      <sz val="10"/>
      <color rgb="FF1A1B20"/>
      <name val="Roboto"/>
    </font>
    <font>
      <b/>
      <sz val="10"/>
      <color rgb="FFFFFFFF"/>
      <name val="Montserrat"/>
    </font>
    <font>
      <b/>
      <sz val="10"/>
      <color rgb="FF1A1B20"/>
      <name val="Roboto"/>
    </font>
    <font>
      <b/>
      <sz val="12"/>
      <name val="Montserrat"/>
    </font>
    <font>
      <sz val="12"/>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FFFFFF"/>
        <bgColor indexed="64"/>
      </patternFill>
    </fill>
    <fill>
      <patternFill patternType="solid">
        <fgColor rgb="FFEEF1F3"/>
        <bgColor indexed="64"/>
      </patternFill>
    </fill>
    <fill>
      <patternFill patternType="solid">
        <fgColor rgb="FF2C3D50"/>
        <bgColor indexed="64"/>
      </patternFill>
    </fill>
    <fill>
      <patternFill patternType="solid">
        <fgColor rgb="FF425D90"/>
        <bgColor rgb="FF425D90"/>
      </patternFill>
    </fill>
    <fill>
      <patternFill patternType="solid">
        <fgColor rgb="FFF9F9FF"/>
        <bgColor rgb="FFF9F9FF"/>
      </patternFill>
    </fill>
    <fill>
      <patternFill patternType="solid">
        <fgColor rgb="FFFFFFFF"/>
        <bgColor rgb="FFFFFFFF"/>
      </patternFill>
    </fill>
  </fills>
  <borders count="13">
    <border>
      <left/>
      <right/>
      <top/>
      <bottom/>
      <diagonal/>
    </border>
    <border>
      <left/>
      <right/>
      <top/>
      <bottom style="double">
        <color indexed="64"/>
      </bottom>
      <diagonal/>
    </border>
    <border>
      <left/>
      <right/>
      <top/>
      <bottom style="medium">
        <color indexed="64"/>
      </bottom>
      <diagonal/>
    </border>
    <border>
      <left/>
      <right/>
      <top style="double">
        <color indexed="64"/>
      </top>
      <bottom style="double">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double">
        <color theme="0" tint="-0.249977111117893"/>
      </bottom>
      <diagonal/>
    </border>
    <border>
      <left/>
      <right style="thin">
        <color theme="0"/>
      </right>
      <top/>
      <bottom style="double">
        <color indexed="64"/>
      </bottom>
      <diagonal/>
    </border>
    <border>
      <left style="thin">
        <color theme="0"/>
      </left>
      <right/>
      <top/>
      <bottom style="double">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double">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73777E"/>
      </left>
      <right style="thin">
        <color rgb="FF73777E"/>
      </right>
      <top style="thin">
        <color rgb="FF73777E"/>
      </top>
      <bottom style="thin">
        <color rgb="FF73777E"/>
      </bottom>
      <diagonal/>
    </border>
  </borders>
  <cellStyleXfs count="6">
    <xf numFmtId="0" fontId="0" fillId="0" borderId="0"/>
    <xf numFmtId="0" fontId="8" fillId="0" borderId="0" applyNumberFormat="0" applyFill="0" applyBorder="0" applyAlignment="0" applyProtection="0"/>
    <xf numFmtId="0" fontId="9" fillId="0" borderId="0"/>
    <xf numFmtId="0" fontId="10" fillId="0" borderId="0"/>
    <xf numFmtId="9" fontId="18" fillId="0" borderId="0" applyFont="0" applyFill="0" applyBorder="0" applyAlignment="0" applyProtection="0"/>
    <xf numFmtId="43" fontId="18" fillId="0" borderId="0" applyFont="0" applyFill="0" applyBorder="0" applyAlignment="0" applyProtection="0"/>
  </cellStyleXfs>
  <cellXfs count="113">
    <xf numFmtId="0" fontId="0" fillId="0" borderId="0" xfId="0"/>
    <xf numFmtId="0" fontId="0" fillId="0" borderId="0" xfId="0" applyProtection="1">
      <protection hidden="1"/>
    </xf>
    <xf numFmtId="0" fontId="3" fillId="0" borderId="0" xfId="0" applyFont="1" applyProtection="1">
      <protection hidden="1"/>
    </xf>
    <xf numFmtId="0" fontId="4" fillId="0" borderId="0" xfId="0" applyFont="1" applyAlignment="1" applyProtection="1">
      <alignment horizontal="center"/>
      <protection hidden="1"/>
    </xf>
    <xf numFmtId="49" fontId="0" fillId="0" borderId="0" xfId="0" applyNumberFormat="1" applyProtection="1">
      <protection hidden="1"/>
    </xf>
    <xf numFmtId="49" fontId="0" fillId="0" borderId="0" xfId="0" applyNumberFormat="1" applyAlignment="1" applyProtection="1">
      <alignment horizontal="left"/>
      <protection hidden="1"/>
    </xf>
    <xf numFmtId="49" fontId="0" fillId="0" borderId="0" xfId="0" applyNumberFormat="1" applyAlignment="1" applyProtection="1">
      <alignment vertical="center"/>
      <protection hidden="1"/>
    </xf>
    <xf numFmtId="0" fontId="0" fillId="0" borderId="0" xfId="0" applyAlignment="1" applyProtection="1">
      <alignment vertical="center"/>
      <protection hidden="1"/>
    </xf>
    <xf numFmtId="0" fontId="0" fillId="0" borderId="0" xfId="0" applyAlignment="1" applyProtection="1">
      <alignment horizontal="center"/>
      <protection hidden="1"/>
    </xf>
    <xf numFmtId="49" fontId="0" fillId="0" borderId="0" xfId="0" applyNumberFormat="1" applyAlignment="1" applyProtection="1">
      <alignment horizontal="left" vertic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2" fillId="0" borderId="0" xfId="0" applyFont="1" applyAlignment="1" applyProtection="1">
      <alignment horizontal="right" vertical="center" wrapText="1"/>
      <protection hidden="1"/>
    </xf>
    <xf numFmtId="0" fontId="2" fillId="0" borderId="0" xfId="0" applyFont="1" applyAlignment="1" applyProtection="1">
      <alignment vertical="center" wrapText="1"/>
      <protection hidden="1"/>
    </xf>
    <xf numFmtId="0" fontId="2" fillId="0" borderId="0" xfId="0" applyFont="1" applyAlignment="1" applyProtection="1">
      <alignment vertical="center"/>
      <protection hidden="1"/>
    </xf>
    <xf numFmtId="0" fontId="7" fillId="0" borderId="0" xfId="0" applyFont="1" applyAlignment="1" applyProtection="1">
      <alignment horizontal="right" vertical="center"/>
      <protection hidden="1"/>
    </xf>
    <xf numFmtId="0" fontId="12" fillId="0" borderId="0" xfId="0" applyFont="1" applyAlignment="1">
      <alignment horizontal="center" vertical="center"/>
    </xf>
    <xf numFmtId="0" fontId="5" fillId="0" borderId="0" xfId="0" applyFont="1" applyAlignment="1" applyProtection="1">
      <alignment vertical="center"/>
      <protection hidden="1"/>
    </xf>
    <xf numFmtId="0" fontId="0" fillId="0" borderId="0" xfId="0" applyAlignment="1">
      <alignment vertical="center"/>
    </xf>
    <xf numFmtId="0" fontId="0" fillId="0" borderId="0" xfId="0" applyAlignment="1" applyProtection="1">
      <alignment horizontal="center" vertical="center"/>
      <protection hidden="1"/>
    </xf>
    <xf numFmtId="0" fontId="14" fillId="0" borderId="0" xfId="0" applyFont="1" applyAlignment="1">
      <alignment vertical="center"/>
    </xf>
    <xf numFmtId="0" fontId="9" fillId="0" borderId="0" xfId="0" applyFont="1"/>
    <xf numFmtId="49" fontId="0" fillId="0" borderId="0" xfId="0" applyNumberFormat="1" applyAlignment="1" applyProtection="1">
      <alignment wrapText="1"/>
      <protection hidden="1"/>
    </xf>
    <xf numFmtId="49" fontId="0" fillId="0" borderId="0" xfId="0" applyNumberFormat="1" applyAlignment="1" applyProtection="1">
      <alignment vertical="center" wrapText="1"/>
      <protection hidden="1"/>
    </xf>
    <xf numFmtId="49" fontId="15" fillId="0" borderId="0" xfId="0" applyNumberFormat="1" applyFont="1" applyAlignment="1" applyProtection="1">
      <alignment horizontal="left" vertical="center" wrapText="1"/>
      <protection hidden="1"/>
    </xf>
    <xf numFmtId="0" fontId="6" fillId="0" borderId="0" xfId="0" applyFont="1" applyAlignment="1" applyProtection="1">
      <alignment horizontal="left"/>
      <protection hidden="1"/>
    </xf>
    <xf numFmtId="49" fontId="2" fillId="0" borderId="0" xfId="0" applyNumberFormat="1" applyFont="1" applyAlignment="1" applyProtection="1">
      <alignment vertical="top" wrapText="1"/>
      <protection hidden="1"/>
    </xf>
    <xf numFmtId="0" fontId="0" fillId="0" borderId="2" xfId="0" applyBorder="1" applyProtection="1">
      <protection hidden="1"/>
    </xf>
    <xf numFmtId="0" fontId="17" fillId="0" borderId="0" xfId="0" applyFont="1" applyAlignment="1" applyProtection="1">
      <alignment vertical="center"/>
      <protection hidden="1"/>
    </xf>
    <xf numFmtId="0" fontId="7" fillId="0" borderId="0" xfId="0" applyFont="1" applyAlignment="1" applyProtection="1">
      <alignment horizontal="left" vertical="center" wrapText="1"/>
      <protection hidden="1"/>
    </xf>
    <xf numFmtId="0" fontId="17" fillId="0" borderId="0" xfId="0" applyFont="1" applyAlignment="1" applyProtection="1">
      <alignment horizontal="center" vertical="center"/>
      <protection hidden="1"/>
    </xf>
    <xf numFmtId="0" fontId="6" fillId="0" borderId="0" xfId="0" applyFont="1" applyProtection="1">
      <protection hidden="1"/>
    </xf>
    <xf numFmtId="49" fontId="16" fillId="0" borderId="0" xfId="0" applyNumberFormat="1" applyFont="1" applyAlignment="1" applyProtection="1">
      <alignment vertical="center" wrapText="1"/>
      <protection hidden="1"/>
    </xf>
    <xf numFmtId="0" fontId="1" fillId="0" borderId="0" xfId="0" applyFont="1" applyAlignment="1" applyProtection="1">
      <alignment vertical="center" wrapText="1"/>
      <protection hidden="1"/>
    </xf>
    <xf numFmtId="0" fontId="7" fillId="0" borderId="0" xfId="0" applyFont="1" applyAlignment="1" applyProtection="1">
      <alignment vertical="center" wrapText="1"/>
      <protection hidden="1"/>
    </xf>
    <xf numFmtId="0" fontId="2" fillId="0" borderId="0" xfId="0" applyFont="1" applyAlignment="1" applyProtection="1">
      <alignment horizontal="right" vertical="top" wrapText="1"/>
      <protection hidden="1"/>
    </xf>
    <xf numFmtId="0" fontId="1" fillId="0" borderId="0" xfId="0" applyFont="1" applyAlignment="1" applyProtection="1">
      <alignment vertical="center"/>
      <protection hidden="1"/>
    </xf>
    <xf numFmtId="0" fontId="14" fillId="0" borderId="0" xfId="0" applyFont="1" applyAlignment="1">
      <alignment horizontal="left" vertical="center"/>
    </xf>
    <xf numFmtId="0" fontId="13" fillId="0" borderId="0" xfId="0" applyFont="1" applyAlignment="1" applyProtection="1">
      <alignment horizontal="left"/>
      <protection hidden="1"/>
    </xf>
    <xf numFmtId="0" fontId="19" fillId="0" borderId="0" xfId="0" applyFont="1" applyProtection="1">
      <protection hidden="1"/>
    </xf>
    <xf numFmtId="49" fontId="13" fillId="0" borderId="0" xfId="0" applyNumberFormat="1" applyFont="1" applyProtection="1">
      <protection hidden="1"/>
    </xf>
    <xf numFmtId="0" fontId="22" fillId="3" borderId="3" xfId="0" applyFont="1" applyFill="1" applyBorder="1" applyAlignment="1" applyProtection="1">
      <alignment horizontal="center" vertical="center" wrapText="1"/>
      <protection hidden="1"/>
    </xf>
    <xf numFmtId="0" fontId="22" fillId="0" borderId="4" xfId="0" applyFont="1" applyBorder="1" applyAlignment="1" applyProtection="1">
      <alignment horizontal="center" vertical="center"/>
      <protection hidden="1"/>
    </xf>
    <xf numFmtId="9" fontId="22" fillId="2" borderId="4" xfId="4" applyFont="1" applyFill="1" applyBorder="1" applyAlignment="1" applyProtection="1">
      <alignment horizontal="center" vertical="center"/>
      <protection hidden="1"/>
    </xf>
    <xf numFmtId="9" fontId="22" fillId="0" borderId="4" xfId="4" applyFont="1" applyBorder="1" applyAlignment="1" applyProtection="1">
      <alignment horizontal="center" vertical="center"/>
      <protection hidden="1"/>
    </xf>
    <xf numFmtId="0" fontId="22" fillId="0" borderId="5" xfId="0" applyFont="1" applyBorder="1" applyAlignment="1" applyProtection="1">
      <alignment horizontal="center" vertical="center"/>
      <protection hidden="1"/>
    </xf>
    <xf numFmtId="9" fontId="22" fillId="2" borderId="5" xfId="4" applyFont="1" applyFill="1" applyBorder="1" applyAlignment="1" applyProtection="1">
      <alignment horizontal="center" vertical="center"/>
      <protection hidden="1"/>
    </xf>
    <xf numFmtId="9" fontId="22" fillId="0" borderId="5" xfId="4" applyFont="1" applyBorder="1" applyAlignment="1" applyProtection="1">
      <alignment horizontal="center" vertical="center"/>
      <protection hidden="1"/>
    </xf>
    <xf numFmtId="0" fontId="25" fillId="0" borderId="0" xfId="0" applyFont="1" applyAlignment="1">
      <alignment vertical="center"/>
    </xf>
    <xf numFmtId="43" fontId="0" fillId="0" borderId="0" xfId="5" applyFont="1" applyAlignment="1" applyProtection="1">
      <alignment vertical="center"/>
      <protection hidden="1"/>
    </xf>
    <xf numFmtId="0" fontId="1" fillId="0" borderId="0" xfId="0" applyFont="1" applyAlignment="1" applyProtection="1">
      <alignment horizontal="right" vertical="center" wrapText="1"/>
      <protection hidden="1"/>
    </xf>
    <xf numFmtId="0" fontId="13" fillId="0" borderId="0" xfId="0" applyFont="1" applyAlignment="1" applyProtection="1">
      <alignment horizontal="left"/>
      <protection hidden="1"/>
    </xf>
    <xf numFmtId="49" fontId="16" fillId="0" borderId="0" xfId="0" applyNumberFormat="1" applyFont="1" applyAlignment="1" applyProtection="1">
      <alignment horizontal="left" vertical="center" wrapText="1"/>
      <protection hidden="1"/>
    </xf>
    <xf numFmtId="0" fontId="1" fillId="0" borderId="0" xfId="0" applyFont="1" applyAlignment="1" applyProtection="1">
      <alignment horizontal="right" vertical="center" wrapText="1"/>
      <protection hidden="1"/>
    </xf>
    <xf numFmtId="0" fontId="1" fillId="0" borderId="0" xfId="0" applyFont="1" applyAlignment="1" applyProtection="1">
      <alignment horizontal="right" vertical="center"/>
      <protection hidden="1"/>
    </xf>
    <xf numFmtId="49" fontId="8" fillId="0" borderId="0" xfId="1" applyNumberFormat="1" applyAlignment="1" applyProtection="1">
      <alignment horizontal="left" vertical="center"/>
      <protection hidden="1"/>
    </xf>
    <xf numFmtId="0" fontId="0" fillId="0" borderId="0" xfId="0" applyAlignment="1">
      <alignment vertical="center"/>
    </xf>
    <xf numFmtId="49" fontId="0" fillId="0" borderId="0" xfId="0" applyNumberFormat="1" applyAlignment="1" applyProtection="1">
      <alignment horizontal="left" vertical="center"/>
      <protection hidden="1"/>
    </xf>
    <xf numFmtId="0" fontId="6" fillId="0" borderId="0" xfId="0" applyFont="1" applyAlignment="1" applyProtection="1">
      <alignment horizontal="right"/>
      <protection hidden="1"/>
    </xf>
    <xf numFmtId="0" fontId="1" fillId="0" borderId="0" xfId="0" applyFont="1" applyAlignment="1" applyProtection="1">
      <alignment horizontal="center" vertical="center" wrapText="1"/>
      <protection hidden="1"/>
    </xf>
    <xf numFmtId="0" fontId="2" fillId="0" borderId="0" xfId="0" applyFont="1" applyAlignment="1" applyProtection="1">
      <alignment horizontal="left" vertical="center" wrapText="1"/>
      <protection hidden="1"/>
    </xf>
    <xf numFmtId="0" fontId="2"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7" fillId="0" borderId="0" xfId="0" applyFont="1" applyAlignment="1" applyProtection="1">
      <alignment horizontal="left" vertical="center" wrapText="1"/>
      <protection hidden="1"/>
    </xf>
    <xf numFmtId="49" fontId="15" fillId="0" borderId="0" xfId="0" applyNumberFormat="1" applyFont="1" applyAlignment="1" applyProtection="1">
      <alignment horizontal="left" vertical="center" wrapText="1"/>
      <protection hidden="1"/>
    </xf>
    <xf numFmtId="0" fontId="11" fillId="0" borderId="0" xfId="0" applyFont="1" applyAlignment="1" applyProtection="1">
      <alignment horizontal="left" vertical="center" wrapText="1"/>
      <protection hidden="1"/>
    </xf>
    <xf numFmtId="0" fontId="7" fillId="0" borderId="0" xfId="0" applyFont="1" applyAlignment="1" applyProtection="1">
      <alignment horizontal="right" vertical="center"/>
      <protection hidden="1"/>
    </xf>
    <xf numFmtId="0" fontId="22" fillId="3" borderId="6" xfId="0" applyFont="1" applyFill="1" applyBorder="1" applyAlignment="1" applyProtection="1">
      <alignment horizontal="center" vertical="center" wrapText="1"/>
      <protection hidden="1"/>
    </xf>
    <xf numFmtId="0" fontId="21" fillId="0" borderId="0" xfId="0" applyFont="1" applyFill="1" applyBorder="1" applyAlignment="1" applyProtection="1">
      <alignment vertical="center" wrapText="1"/>
      <protection hidden="1"/>
    </xf>
    <xf numFmtId="0" fontId="0" fillId="0" borderId="0" xfId="0" applyAlignment="1" applyProtection="1">
      <alignment horizontal="left" vertical="center"/>
      <protection hidden="1"/>
    </xf>
    <xf numFmtId="0" fontId="23" fillId="0" borderId="0" xfId="0" applyFont="1" applyBorder="1" applyAlignment="1">
      <alignment horizontal="left" vertical="center" wrapText="1"/>
    </xf>
    <xf numFmtId="0" fontId="1" fillId="0" borderId="9" xfId="0" applyFont="1" applyBorder="1" applyAlignment="1" applyProtection="1">
      <alignment horizontal="center" vertical="center"/>
      <protection hidden="1"/>
    </xf>
    <xf numFmtId="164" fontId="24" fillId="0" borderId="9" xfId="0" applyNumberFormat="1" applyFont="1" applyBorder="1" applyAlignment="1">
      <alignment horizontal="center" vertical="center"/>
    </xf>
    <xf numFmtId="0" fontId="24" fillId="0" borderId="9" xfId="0" applyFont="1" applyBorder="1" applyAlignment="1">
      <alignment horizontal="center" vertical="center"/>
    </xf>
    <xf numFmtId="0" fontId="1" fillId="4" borderId="11" xfId="0" applyFont="1" applyFill="1" applyBorder="1" applyAlignment="1" applyProtection="1">
      <alignment horizontal="center" vertical="center"/>
      <protection hidden="1"/>
    </xf>
    <xf numFmtId="164" fontId="24" fillId="4" borderId="11" xfId="0" applyNumberFormat="1" applyFont="1" applyFill="1" applyBorder="1" applyAlignment="1">
      <alignment horizontal="center" vertical="center"/>
    </xf>
    <xf numFmtId="0" fontId="24" fillId="4" borderId="11" xfId="0" applyFont="1" applyFill="1" applyBorder="1" applyAlignment="1">
      <alignment horizontal="center" vertical="center"/>
    </xf>
    <xf numFmtId="0" fontId="1" fillId="4" borderId="9" xfId="0" applyFont="1" applyFill="1" applyBorder="1" applyAlignment="1" applyProtection="1">
      <alignment horizontal="center" vertical="center"/>
      <protection hidden="1"/>
    </xf>
    <xf numFmtId="164" fontId="24" fillId="4" borderId="9" xfId="0" applyNumberFormat="1" applyFont="1" applyFill="1" applyBorder="1" applyAlignment="1">
      <alignment horizontal="center" vertical="center"/>
    </xf>
    <xf numFmtId="0" fontId="24" fillId="4" borderId="9" xfId="0" applyFont="1" applyFill="1" applyBorder="1" applyAlignment="1">
      <alignment horizontal="center" vertical="center"/>
    </xf>
    <xf numFmtId="0" fontId="1" fillId="4" borderId="11" xfId="0" applyFont="1" applyFill="1" applyBorder="1" applyAlignment="1">
      <alignment horizontal="center" vertical="center"/>
    </xf>
    <xf numFmtId="0" fontId="1" fillId="0" borderId="9" xfId="0" applyFont="1" applyBorder="1" applyAlignment="1">
      <alignment horizontal="center" vertical="center"/>
    </xf>
    <xf numFmtId="0" fontId="1" fillId="4" borderId="9" xfId="0" applyFont="1" applyFill="1" applyBorder="1" applyAlignment="1">
      <alignment horizontal="center" vertical="center"/>
    </xf>
    <xf numFmtId="49" fontId="2" fillId="0" borderId="0" xfId="0" applyNumberFormat="1" applyFont="1" applyAlignment="1" applyProtection="1">
      <alignment vertical="center"/>
      <protection hidden="1"/>
    </xf>
    <xf numFmtId="0" fontId="21" fillId="5" borderId="1" xfId="0" applyFont="1" applyFill="1" applyBorder="1" applyAlignment="1" applyProtection="1">
      <alignment horizontal="center" vertical="center" wrapText="1"/>
      <protection hidden="1"/>
    </xf>
    <xf numFmtId="0" fontId="21" fillId="5" borderId="7" xfId="0" applyFont="1" applyFill="1" applyBorder="1" applyAlignment="1" applyProtection="1">
      <alignment horizontal="center" vertical="center" wrapText="1"/>
      <protection hidden="1"/>
    </xf>
    <xf numFmtId="0" fontId="21" fillId="5" borderId="8" xfId="0" applyFont="1" applyFill="1" applyBorder="1" applyAlignment="1" applyProtection="1">
      <alignment horizontal="center" vertical="center" wrapText="1"/>
      <protection hidden="1"/>
    </xf>
    <xf numFmtId="0" fontId="20" fillId="5" borderId="0" xfId="0" applyFont="1" applyFill="1" applyBorder="1" applyAlignment="1">
      <alignment horizontal="center"/>
    </xf>
    <xf numFmtId="0" fontId="27" fillId="5" borderId="10" xfId="0" applyFont="1" applyFill="1" applyBorder="1" applyAlignment="1">
      <alignment horizontal="center" vertical="center"/>
    </xf>
    <xf numFmtId="0" fontId="26" fillId="0" borderId="0" xfId="0" applyFont="1" applyProtection="1">
      <protection hidden="1"/>
    </xf>
    <xf numFmtId="0" fontId="4" fillId="0" borderId="0" xfId="0" applyFont="1" applyAlignment="1" applyProtection="1">
      <alignment vertical="center" wrapText="1"/>
      <protection hidden="1"/>
    </xf>
    <xf numFmtId="0" fontId="4" fillId="0" borderId="0" xfId="0" applyFont="1" applyAlignment="1" applyProtection="1">
      <alignment horizontal="right" vertical="center" wrapText="1"/>
      <protection hidden="1"/>
    </xf>
    <xf numFmtId="49" fontId="28" fillId="0" borderId="0" xfId="0" applyNumberFormat="1" applyFont="1" applyAlignment="1" applyProtection="1">
      <alignment vertical="center" wrapText="1"/>
      <protection hidden="1"/>
    </xf>
    <xf numFmtId="0" fontId="29" fillId="0" borderId="0" xfId="0" applyFont="1" applyAlignment="1" applyProtection="1">
      <alignment vertical="center"/>
      <protection hidden="1"/>
    </xf>
    <xf numFmtId="0" fontId="26" fillId="0" borderId="0" xfId="0" applyFont="1" applyAlignment="1" applyProtection="1">
      <alignment horizontal="center"/>
      <protection hidden="1"/>
    </xf>
    <xf numFmtId="0" fontId="31" fillId="6" borderId="12" xfId="0" applyFont="1" applyFill="1" applyBorder="1" applyAlignment="1">
      <alignment horizontal="center" vertical="center"/>
    </xf>
    <xf numFmtId="0" fontId="30" fillId="7" borderId="12" xfId="0" applyFont="1" applyFill="1" applyBorder="1" applyAlignment="1">
      <alignment horizontal="center" vertical="center"/>
    </xf>
    <xf numFmtId="0" fontId="30" fillId="8" borderId="12" xfId="0" applyFont="1" applyFill="1" applyBorder="1" applyAlignment="1">
      <alignment horizontal="center" vertical="center"/>
    </xf>
    <xf numFmtId="0" fontId="32" fillId="8" borderId="12" xfId="0" applyFont="1" applyFill="1" applyBorder="1" applyAlignment="1">
      <alignment horizontal="center" vertical="center"/>
    </xf>
    <xf numFmtId="0" fontId="0" fillId="0" borderId="0" xfId="0" applyAlignment="1"/>
    <xf numFmtId="0" fontId="0" fillId="0" borderId="0" xfId="0" applyFill="1" applyAlignment="1"/>
    <xf numFmtId="169" fontId="30" fillId="7" borderId="12" xfId="0" applyNumberFormat="1" applyFont="1" applyFill="1" applyBorder="1" applyAlignment="1">
      <alignment horizontal="center" vertical="center"/>
    </xf>
    <xf numFmtId="169" fontId="30" fillId="8" borderId="12" xfId="0" applyNumberFormat="1" applyFont="1" applyFill="1" applyBorder="1" applyAlignment="1">
      <alignment horizontal="center" vertical="center"/>
    </xf>
    <xf numFmtId="169" fontId="32" fillId="8" borderId="12" xfId="0" applyNumberFormat="1" applyFont="1" applyFill="1" applyBorder="1" applyAlignment="1">
      <alignment horizontal="center" vertical="center"/>
    </xf>
    <xf numFmtId="0" fontId="31" fillId="6" borderId="12" xfId="0" applyFont="1" applyFill="1" applyBorder="1" applyAlignment="1">
      <alignment horizontal="center" vertical="center" wrapText="1"/>
    </xf>
    <xf numFmtId="164" fontId="30" fillId="8" borderId="12" xfId="0" applyNumberFormat="1" applyFont="1" applyFill="1" applyBorder="1" applyAlignment="1">
      <alignment horizontal="center" vertical="center"/>
    </xf>
    <xf numFmtId="164" fontId="30" fillId="7" borderId="12" xfId="0" applyNumberFormat="1" applyFont="1" applyFill="1" applyBorder="1" applyAlignment="1">
      <alignment horizontal="center" vertical="center"/>
    </xf>
    <xf numFmtId="44" fontId="30" fillId="7" borderId="12" xfId="0" applyNumberFormat="1" applyFont="1" applyFill="1" applyBorder="1" applyAlignment="1">
      <alignment horizontal="center" vertical="center"/>
    </xf>
    <xf numFmtId="0" fontId="33" fillId="0" borderId="0" xfId="0" applyFont="1" applyFill="1" applyAlignment="1">
      <alignment vertical="center"/>
    </xf>
    <xf numFmtId="0" fontId="34" fillId="0" borderId="0" xfId="0" applyFont="1" applyFill="1" applyAlignment="1"/>
    <xf numFmtId="0" fontId="32" fillId="8" borderId="0" xfId="0" applyFont="1" applyFill="1" applyAlignment="1">
      <alignment vertical="top" wrapText="1"/>
    </xf>
    <xf numFmtId="0" fontId="30" fillId="8" borderId="0" xfId="0" applyFont="1" applyFill="1" applyAlignment="1">
      <alignment vertical="top"/>
    </xf>
    <xf numFmtId="0" fontId="32" fillId="8" borderId="0" xfId="0" applyFont="1" applyFill="1" applyAlignment="1">
      <alignment vertical="top"/>
    </xf>
  </cellXfs>
  <cellStyles count="6">
    <cellStyle name="Hipervínculo" xfId="1" builtinId="8"/>
    <cellStyle name="Millares" xfId="5" builtinId="3"/>
    <cellStyle name="Normal" xfId="0" builtinId="0"/>
    <cellStyle name="Normal 2" xfId="3" xr:uid="{00000000-0005-0000-0000-000002000000}"/>
    <cellStyle name="Normal 2 2" xfId="2" xr:uid="{00000000-0005-0000-0000-000003000000}"/>
    <cellStyle name="Porcentaje" xfId="4" builtinId="5"/>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C3D50"/>
      <color rgb="FFEEF1F3"/>
      <color rgb="FF001F60"/>
      <color rgb="FFFFFFFF"/>
      <color rgb="FFD9D9D9"/>
      <color rgb="FFEEDFF7"/>
      <color rgb="FFFFE8CA"/>
      <color rgb="FFFBE3FF"/>
      <color rgb="FFFFE7CA"/>
      <color rgb="FFFFBB6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6.emf"/><Relationship Id="rId7" Type="http://schemas.openxmlformats.org/officeDocument/2006/relationships/hyperlink" Target="https://www.instagram.com/avgh_rrhh/" TargetMode="External"/><Relationship Id="rId2" Type="http://schemas.openxmlformats.org/officeDocument/2006/relationships/image" Target="../media/image3.png"/><Relationship Id="rId1" Type="http://schemas.openxmlformats.org/officeDocument/2006/relationships/image" Target="../media/image5.jpeg"/><Relationship Id="rId6" Type="http://schemas.openxmlformats.org/officeDocument/2006/relationships/image" Target="../media/image8.png"/><Relationship Id="rId5" Type="http://schemas.openxmlformats.org/officeDocument/2006/relationships/hyperlink" Target="https://www.instagram.com/ac_consulting/" TargetMode="External"/><Relationship Id="rId4" Type="http://schemas.openxmlformats.org/officeDocument/2006/relationships/image" Target="../media/image7.emf"/></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9.jpeg"/></Relationships>
</file>

<file path=xl/drawings/_rels/drawing6.xml.rels><?xml version="1.0" encoding="UTF-8" standalone="yes"?>
<Relationships xmlns="http://schemas.openxmlformats.org/package/2006/relationships"><Relationship Id="rId3" Type="http://schemas.openxmlformats.org/officeDocument/2006/relationships/hyperlink" Target="https://www.instagram.com/ac_consulting/" TargetMode="External"/><Relationship Id="rId2" Type="http://schemas.openxmlformats.org/officeDocument/2006/relationships/image" Target="../media/image3.png"/><Relationship Id="rId1" Type="http://schemas.openxmlformats.org/officeDocument/2006/relationships/image" Target="../media/image5.jpeg"/><Relationship Id="rId5" Type="http://schemas.openxmlformats.org/officeDocument/2006/relationships/hyperlink" Target="https://www.instagram.com/avgh_rrhh/" TargetMode="External"/><Relationship Id="rId4" Type="http://schemas.openxmlformats.org/officeDocument/2006/relationships/image" Target="../media/image8.png"/></Relationships>
</file>

<file path=xl/drawings/_rels/drawing7.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4.png"/><Relationship Id="rId5" Type="http://schemas.openxmlformats.org/officeDocument/2006/relationships/hyperlink" Target="https://www.instagram.com/ac_consulting/" TargetMode="External"/><Relationship Id="rId4" Type="http://schemas.openxmlformats.org/officeDocument/2006/relationships/image" Target="../media/image12.jpeg"/></Relationships>
</file>

<file path=xl/drawings/_rels/drawing11.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hyperlink" Target="https://www.instagram.com/ac_consulting/" TargetMode="External"/><Relationship Id="rId1" Type="http://schemas.openxmlformats.org/officeDocument/2006/relationships/image" Target="../media/image13.jpeg"/><Relationship Id="rId5" Type="http://schemas.openxmlformats.org/officeDocument/2006/relationships/image" Target="../media/image3.png"/><Relationship Id="rId4" Type="http://schemas.openxmlformats.org/officeDocument/2006/relationships/hyperlink" Target="https://www.instagram.com/avgh_rrhh/"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5</xdr:col>
      <xdr:colOff>742327</xdr:colOff>
      <xdr:row>9</xdr:row>
      <xdr:rowOff>179294</xdr:rowOff>
    </xdr:to>
    <xdr:pic>
      <xdr:nvPicPr>
        <xdr:cNvPr id="2" name="Picture 5" descr="Alamy_AAYK2P_PPT">
          <a:extLst>
            <a:ext uri="{FF2B5EF4-FFF2-40B4-BE49-F238E27FC236}">
              <a16:creationId xmlns:a16="http://schemas.microsoft.com/office/drawing/2014/main" id="{E697284A-F9DC-444C-AEEE-7D994ECA21B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
          <a:ext cx="5619127" cy="2008093"/>
        </a:xfrm>
        <a:prstGeom prst="rect">
          <a:avLst/>
        </a:prstGeom>
        <a:noFill/>
      </xdr:spPr>
    </xdr:pic>
    <xdr:clientData/>
  </xdr:twoCellAnchor>
  <xdr:twoCellAnchor>
    <xdr:from>
      <xdr:col>2</xdr:col>
      <xdr:colOff>179917</xdr:colOff>
      <xdr:row>19</xdr:row>
      <xdr:rowOff>52918</xdr:rowOff>
    </xdr:from>
    <xdr:to>
      <xdr:col>5</xdr:col>
      <xdr:colOff>762000</xdr:colOff>
      <xdr:row>22</xdr:row>
      <xdr:rowOff>192618</xdr:rowOff>
    </xdr:to>
    <xdr:grpSp>
      <xdr:nvGrpSpPr>
        <xdr:cNvPr id="8" name="Grupo 7">
          <a:extLst>
            <a:ext uri="{FF2B5EF4-FFF2-40B4-BE49-F238E27FC236}">
              <a16:creationId xmlns:a16="http://schemas.microsoft.com/office/drawing/2014/main" id="{BD6BFD03-8CE5-CD4A-A8B8-5553AE33F020}"/>
            </a:ext>
          </a:extLst>
        </xdr:cNvPr>
        <xdr:cNvGrpSpPr/>
      </xdr:nvGrpSpPr>
      <xdr:grpSpPr>
        <a:xfrm>
          <a:off x="2582334" y="3778251"/>
          <a:ext cx="3058583" cy="806450"/>
          <a:chOff x="2465917" y="3869267"/>
          <a:chExt cx="3058583" cy="742950"/>
        </a:xfrm>
      </xdr:grpSpPr>
      <xdr:pic>
        <xdr:nvPicPr>
          <xdr:cNvPr id="9" name="Imagen 1" descr="C:\Users\Julio Contreras.PC-Julio\Desktop\Logos AC Consulting\encabezado.jpg">
            <a:extLst>
              <a:ext uri="{FF2B5EF4-FFF2-40B4-BE49-F238E27FC236}">
                <a16:creationId xmlns:a16="http://schemas.microsoft.com/office/drawing/2014/main" id="{438A5840-0F9E-6984-3D63-D46B6487E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D98CA12E-498F-2EBD-0BBD-D3E76DAE6DA4}"/>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185590</xdr:rowOff>
    </xdr:from>
    <xdr:to>
      <xdr:col>12</xdr:col>
      <xdr:colOff>773546</xdr:colOff>
      <xdr:row>18</xdr:row>
      <xdr:rowOff>138544</xdr:rowOff>
    </xdr:to>
    <xdr:sp macro="" textlink="">
      <xdr:nvSpPr>
        <xdr:cNvPr id="8" name="2 Subtítulo">
          <a:extLst>
            <a:ext uri="{FF2B5EF4-FFF2-40B4-BE49-F238E27FC236}">
              <a16:creationId xmlns:a16="http://schemas.microsoft.com/office/drawing/2014/main" id="{00000000-0008-0000-0100-000008000000}"/>
            </a:ext>
          </a:extLst>
        </xdr:cNvPr>
        <xdr:cNvSpPr>
          <a:spLocks noGrp="1"/>
        </xdr:cNvSpPr>
      </xdr:nvSpPr>
      <xdr:spPr>
        <a:xfrm>
          <a:off x="138545" y="1501772"/>
          <a:ext cx="5657274" cy="2897045"/>
        </a:xfrm>
        <a:prstGeom prst="rect">
          <a:avLst/>
        </a:prstGeom>
      </xdr:spPr>
      <xdr:txBody>
        <a:bodyPr vert="horz" wrap="square" lIns="91440" tIns="45720" rIns="91440" bIns="45720" rtlCol="0">
          <a:no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l"/>
          <a:r>
            <a:rPr lang="es-ES" sz="1100" i="1">
              <a:solidFill>
                <a:sysClr val="windowText" lastClr="000000"/>
              </a:solidFill>
            </a:rPr>
            <a:t>Nuestro reconomiento por haber participado en la Encuesta de Compensación Integral, el cual nos permitió levantar y documentar información salarial de las áreas de Administración y Finanzas, Capital Humano, Comercialización y Ventas, Ingeniería / Proyecto, Producción, Tecnología, Servicios Generales, Atención al Cliente y Alta Gerencia.</a:t>
          </a:r>
        </a:p>
        <a:p>
          <a:pPr algn="l"/>
          <a:endParaRPr lang="es-ES" sz="1100" i="1">
            <a:solidFill>
              <a:sysClr val="windowText" lastClr="000000"/>
            </a:solidFill>
          </a:endParaRPr>
        </a:p>
        <a:p>
          <a:pPr algn="l"/>
          <a:r>
            <a:rPr lang="es-ES" sz="1100" i="1">
              <a:solidFill>
                <a:sysClr val="windowText" lastClr="000000"/>
              </a:solidFill>
            </a:rPr>
            <a:t>Este estudio no tiene intención comercial, constituye un aporte de AC Consulting y la Asociación Venezolana de Gestión Humana, con</a:t>
          </a:r>
          <a:r>
            <a:rPr lang="es-ES" sz="1100" i="1" baseline="0">
              <a:solidFill>
                <a:sysClr val="windowText" lastClr="000000"/>
              </a:solidFill>
            </a:rPr>
            <a:t> el fin </a:t>
          </a:r>
          <a:r>
            <a:rPr lang="es-ES" sz="1100" i="1">
              <a:solidFill>
                <a:sysClr val="windowText" lastClr="000000"/>
              </a:solidFill>
            </a:rPr>
            <a:t>de compartir prácticas del mercado.</a:t>
          </a:r>
        </a:p>
        <a:p>
          <a:pPr algn="l"/>
          <a:endParaRPr lang="es-ES" sz="1100" i="1">
            <a:solidFill>
              <a:sysClr val="windowText" lastClr="000000"/>
            </a:solidFill>
          </a:endParaRPr>
        </a:p>
        <a:p>
          <a:pPr algn="l"/>
          <a:r>
            <a:rPr lang="es-ES" sz="1100" i="1">
              <a:solidFill>
                <a:sysClr val="windowText" lastClr="000000"/>
              </a:solidFill>
            </a:rPr>
            <a:t>Este informe es confindencial y debe ser destinado para uso particular.</a:t>
          </a:r>
        </a:p>
        <a:p>
          <a:pPr algn="l"/>
          <a:endParaRPr lang="es-ES" sz="1100" i="1">
            <a:solidFill>
              <a:sysClr val="windowText" lastClr="000000"/>
            </a:solidFill>
          </a:endParaRPr>
        </a:p>
        <a:p>
          <a:pPr algn="l"/>
          <a:r>
            <a:rPr lang="es-ES" sz="1100" i="1">
              <a:solidFill>
                <a:sysClr val="windowText" lastClr="000000"/>
              </a:solidFill>
            </a:rPr>
            <a:t>Esperamos que sea un valioso aporte para su organización.</a:t>
          </a:r>
        </a:p>
        <a:p>
          <a:pPr algn="l"/>
          <a:endParaRPr lang="es-ES" sz="1100" i="1">
            <a:solidFill>
              <a:sysClr val="windowText" lastClr="000000"/>
            </a:solidFill>
          </a:endParaRPr>
        </a:p>
        <a:p>
          <a:pPr algn="l"/>
          <a:r>
            <a:rPr lang="es-ES" sz="1100" i="1">
              <a:solidFill>
                <a:sysClr val="windowText" lastClr="000000"/>
              </a:solidFill>
            </a:rPr>
            <a:t>Saludos cordiales,</a:t>
          </a:r>
        </a:p>
        <a:p>
          <a:pPr algn="l"/>
          <a:r>
            <a:rPr lang="es-ES" sz="1100" i="1">
              <a:solidFill>
                <a:sysClr val="windowText" lastClr="000000"/>
              </a:solidFill>
            </a:rPr>
            <a:t>AC Consulting y Asociación Venezolana de Gestión Humana</a:t>
          </a:r>
        </a:p>
      </xdr:txBody>
    </xdr:sp>
    <xdr:clientData/>
  </xdr:twoCellAnchor>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48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71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100-000010000000}"/>
            </a:ext>
          </a:extLst>
        </xdr:cNvPr>
        <xdr:cNvSpPr txBox="1"/>
      </xdr:nvSpPr>
      <xdr:spPr>
        <a:xfrm>
          <a:off x="4641272" y="11546"/>
          <a:ext cx="1185391"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E2DEEB1B-ED54-8844-8FA6-FED613A15235}"/>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C1D99643-FA41-7C5D-9A0A-DCAC9CC62A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8AFAE7-2BAE-A401-2846-5AA928159F7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13</xdr:col>
      <xdr:colOff>162278</xdr:colOff>
      <xdr:row>2</xdr:row>
      <xdr:rowOff>0</xdr:rowOff>
    </xdr:to>
    <xdr:sp macro="" textlink="">
      <xdr:nvSpPr>
        <xdr:cNvPr id="5" name="Recortar rectángulo de esquina del mismo lado 4">
          <a:extLst>
            <a:ext uri="{FF2B5EF4-FFF2-40B4-BE49-F238E27FC236}">
              <a16:creationId xmlns:a16="http://schemas.microsoft.com/office/drawing/2014/main" id="{CE6ABE4D-A160-4A4C-8D2E-B099F9446BEC}"/>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AGRADECIMIENTO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2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21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2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44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200-000010000000}"/>
            </a:ext>
          </a:extLst>
        </xdr:cNvPr>
        <xdr:cNvSpPr txBox="1"/>
      </xdr:nvSpPr>
      <xdr:spPr>
        <a:xfrm>
          <a:off x="46285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460E384E-ABC2-5E49-A68C-84222055FCD0}"/>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1A4359D-4690-D432-32B0-00A292411D2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154A4F7B-FDA6-86EF-80C3-628C261B2BA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726722</xdr:colOff>
      <xdr:row>2</xdr:row>
      <xdr:rowOff>0</xdr:rowOff>
    </xdr:to>
    <xdr:sp macro="" textlink="">
      <xdr:nvSpPr>
        <xdr:cNvPr id="5" name="Recortar rectángulo de esquina del mismo lado 4">
          <a:extLst>
            <a:ext uri="{FF2B5EF4-FFF2-40B4-BE49-F238E27FC236}">
              <a16:creationId xmlns:a16="http://schemas.microsoft.com/office/drawing/2014/main" id="{21D332FF-A358-AD4F-B5C3-16A20298A64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582084</xdr:colOff>
      <xdr:row>0</xdr:row>
      <xdr:rowOff>571500</xdr:rowOff>
    </xdr:to>
    <xdr:grpSp>
      <xdr:nvGrpSpPr>
        <xdr:cNvPr id="17" name="Grupo 16">
          <a:extLst>
            <a:ext uri="{FF2B5EF4-FFF2-40B4-BE49-F238E27FC236}">
              <a16:creationId xmlns:a16="http://schemas.microsoft.com/office/drawing/2014/main" id="{F7BC8DDD-0AD1-514C-9EED-80BE01D29A23}"/>
            </a:ext>
          </a:extLst>
        </xdr:cNvPr>
        <xdr:cNvGrpSpPr/>
      </xdr:nvGrpSpPr>
      <xdr:grpSpPr>
        <a:xfrm>
          <a:off x="0" y="0"/>
          <a:ext cx="2247195" cy="571500"/>
          <a:chOff x="0" y="0"/>
          <a:chExt cx="2243667" cy="571500"/>
        </a:xfrm>
      </xdr:grpSpPr>
      <xdr:pic>
        <xdr:nvPicPr>
          <xdr:cNvPr id="18" name="Imagen 1" descr="C:\Users\Julio Contreras.PC-Julio\Desktop\Logos AC Consulting\encabezado.jpg">
            <a:extLst>
              <a:ext uri="{FF2B5EF4-FFF2-40B4-BE49-F238E27FC236}">
                <a16:creationId xmlns:a16="http://schemas.microsoft.com/office/drawing/2014/main" id="{88574431-9B8A-E2E3-0E2E-EF831D3C10E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9" name="Imagen 18">
            <a:extLst>
              <a:ext uri="{FF2B5EF4-FFF2-40B4-BE49-F238E27FC236}">
                <a16:creationId xmlns:a16="http://schemas.microsoft.com/office/drawing/2014/main" id="{A769FABD-DAE2-1508-F337-D5337178038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editAs="oneCell">
    <xdr:from>
      <xdr:col>0</xdr:col>
      <xdr:colOff>0</xdr:colOff>
      <xdr:row>3</xdr:row>
      <xdr:rowOff>0</xdr:rowOff>
    </xdr:from>
    <xdr:to>
      <xdr:col>12</xdr:col>
      <xdr:colOff>338667</xdr:colOff>
      <xdr:row>26</xdr:row>
      <xdr:rowOff>53657</xdr:rowOff>
    </xdr:to>
    <xdr:pic>
      <xdr:nvPicPr>
        <xdr:cNvPr id="9" name="Imagen 8">
          <a:extLst>
            <a:ext uri="{FF2B5EF4-FFF2-40B4-BE49-F238E27FC236}">
              <a16:creationId xmlns:a16="http://schemas.microsoft.com/office/drawing/2014/main" id="{7DE60E38-6FDC-6D41-9725-E701C1FE7776}"/>
            </a:ext>
          </a:extLst>
        </xdr:cNvPr>
        <xdr:cNvPicPr>
          <a:picLocks noChangeAspect="1"/>
        </xdr:cNvPicPr>
      </xdr:nvPicPr>
      <xdr:blipFill>
        <a:blip xmlns:r="http://schemas.openxmlformats.org/officeDocument/2006/relationships" r:embed="rId3"/>
        <a:stretch>
          <a:fillRect/>
        </a:stretch>
      </xdr:blipFill>
      <xdr:spPr>
        <a:xfrm>
          <a:off x="0" y="1312333"/>
          <a:ext cx="9144000" cy="4597435"/>
        </a:xfrm>
        <a:prstGeom prst="rect">
          <a:avLst/>
        </a:prstGeom>
      </xdr:spPr>
    </xdr:pic>
    <xdr:clientData/>
  </xdr:twoCellAnchor>
  <xdr:twoCellAnchor editAs="oneCell">
    <xdr:from>
      <xdr:col>13</xdr:col>
      <xdr:colOff>0</xdr:colOff>
      <xdr:row>3</xdr:row>
      <xdr:rowOff>0</xdr:rowOff>
    </xdr:from>
    <xdr:to>
      <xdr:col>18</xdr:col>
      <xdr:colOff>421922</xdr:colOff>
      <xdr:row>26</xdr:row>
      <xdr:rowOff>40922</xdr:rowOff>
    </xdr:to>
    <xdr:pic>
      <xdr:nvPicPr>
        <xdr:cNvPr id="11" name="Imagen 10">
          <a:extLst>
            <a:ext uri="{FF2B5EF4-FFF2-40B4-BE49-F238E27FC236}">
              <a16:creationId xmlns:a16="http://schemas.microsoft.com/office/drawing/2014/main" id="{4C53B650-1489-9848-83AD-4FF8D79AA685}"/>
            </a:ext>
          </a:extLst>
        </xdr:cNvPr>
        <xdr:cNvPicPr>
          <a:picLocks noChangeAspect="1"/>
        </xdr:cNvPicPr>
      </xdr:nvPicPr>
      <xdr:blipFill>
        <a:blip xmlns:r="http://schemas.openxmlformats.org/officeDocument/2006/relationships" r:embed="rId4"/>
        <a:stretch>
          <a:fillRect/>
        </a:stretch>
      </xdr:blipFill>
      <xdr:spPr>
        <a:xfrm>
          <a:off x="9637889" y="1312333"/>
          <a:ext cx="4584700" cy="4584700"/>
        </a:xfrm>
        <a:prstGeom prst="rect">
          <a:avLst/>
        </a:prstGeom>
      </xdr:spPr>
    </xdr:pic>
    <xdr:clientData/>
  </xdr:twoCellAnchor>
  <xdr:twoCellAnchor>
    <xdr:from>
      <xdr:col>17</xdr:col>
      <xdr:colOff>203200</xdr:colOff>
      <xdr:row>0</xdr:row>
      <xdr:rowOff>0</xdr:rowOff>
    </xdr:from>
    <xdr:to>
      <xdr:col>17</xdr:col>
      <xdr:colOff>495300</xdr:colOff>
      <xdr:row>0</xdr:row>
      <xdr:rowOff>304800</xdr:rowOff>
    </xdr:to>
    <xdr:pic>
      <xdr:nvPicPr>
        <xdr:cNvPr id="12" name="Picture 5">
          <a:hlinkClick xmlns:r="http://schemas.openxmlformats.org/officeDocument/2006/relationships" r:id="rId5"/>
          <a:extLst>
            <a:ext uri="{FF2B5EF4-FFF2-40B4-BE49-F238E27FC236}">
              <a16:creationId xmlns:a16="http://schemas.microsoft.com/office/drawing/2014/main" id="{96EE4111-5C80-E746-B770-4E98577DFBA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5678311"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17</xdr:col>
      <xdr:colOff>203200</xdr:colOff>
      <xdr:row>0</xdr:row>
      <xdr:rowOff>342900</xdr:rowOff>
    </xdr:from>
    <xdr:to>
      <xdr:col>17</xdr:col>
      <xdr:colOff>495300</xdr:colOff>
      <xdr:row>0</xdr:row>
      <xdr:rowOff>647700</xdr:rowOff>
    </xdr:to>
    <xdr:pic>
      <xdr:nvPicPr>
        <xdr:cNvPr id="13" name="Picture 5">
          <a:hlinkClick xmlns:r="http://schemas.openxmlformats.org/officeDocument/2006/relationships" r:id="rId7"/>
          <a:extLst>
            <a:ext uri="{FF2B5EF4-FFF2-40B4-BE49-F238E27FC236}">
              <a16:creationId xmlns:a16="http://schemas.microsoft.com/office/drawing/2014/main" id="{FF798B49-0CB6-964F-B389-62A54EDB4209}"/>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5678311"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17</xdr:col>
      <xdr:colOff>450272</xdr:colOff>
      <xdr:row>0</xdr:row>
      <xdr:rowOff>11546</xdr:rowOff>
    </xdr:from>
    <xdr:to>
      <xdr:col>18</xdr:col>
      <xdr:colOff>804390</xdr:colOff>
      <xdr:row>0</xdr:row>
      <xdr:rowOff>727363</xdr:rowOff>
    </xdr:to>
    <xdr:sp macro="" textlink="">
      <xdr:nvSpPr>
        <xdr:cNvPr id="14" name="5 CuadroTexto">
          <a:extLst>
            <a:ext uri="{FF2B5EF4-FFF2-40B4-BE49-F238E27FC236}">
              <a16:creationId xmlns:a16="http://schemas.microsoft.com/office/drawing/2014/main" id="{A53BA781-C48F-5546-953A-C8BC030886A9}"/>
            </a:ext>
          </a:extLst>
        </xdr:cNvPr>
        <xdr:cNvSpPr txBox="1"/>
      </xdr:nvSpPr>
      <xdr:spPr>
        <a:xfrm>
          <a:off x="5925383" y="11546"/>
          <a:ext cx="1186674"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8</xdr:col>
      <xdr:colOff>557389</xdr:colOff>
      <xdr:row>2</xdr:row>
      <xdr:rowOff>0</xdr:rowOff>
    </xdr:to>
    <xdr:sp macro="" textlink="">
      <xdr:nvSpPr>
        <xdr:cNvPr id="2" name="Recortar rectángulo de esquina del mismo lado 1">
          <a:extLst>
            <a:ext uri="{FF2B5EF4-FFF2-40B4-BE49-F238E27FC236}">
              <a16:creationId xmlns:a16="http://schemas.microsoft.com/office/drawing/2014/main" id="{4DB12DA5-1607-D647-9B9A-9B81A263F45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E311633D-C6F5-A048-873B-43BB7BC0E411}"/>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65169271-8654-6A45-DDA1-2E83D5C95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05F394A-08FE-C5B6-F886-306672BC5EA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437445</xdr:colOff>
      <xdr:row>0</xdr:row>
      <xdr:rowOff>571500</xdr:rowOff>
    </xdr:to>
    <xdr:grpSp>
      <xdr:nvGrpSpPr>
        <xdr:cNvPr id="5" name="Grupo 4">
          <a:extLst>
            <a:ext uri="{FF2B5EF4-FFF2-40B4-BE49-F238E27FC236}">
              <a16:creationId xmlns:a16="http://schemas.microsoft.com/office/drawing/2014/main" id="{17C7D5D2-2325-6944-99E3-9AC1204F1BAA}"/>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C8BEF1ED-B5C6-B30C-ACFC-E378B10B23C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6CAB2AFE-D578-352D-0874-CF68CB5DF3F7}"/>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8</xdr:col>
      <xdr:colOff>203200</xdr:colOff>
      <xdr:row>0</xdr:row>
      <xdr:rowOff>0</xdr:rowOff>
    </xdr:from>
    <xdr:to>
      <xdr:col>8</xdr:col>
      <xdr:colOff>495300</xdr:colOff>
      <xdr:row>0</xdr:row>
      <xdr:rowOff>304800</xdr:rowOff>
    </xdr:to>
    <xdr:pic>
      <xdr:nvPicPr>
        <xdr:cNvPr id="2" name="Picture 5">
          <a:hlinkClick xmlns:r="http://schemas.openxmlformats.org/officeDocument/2006/relationships" r:id="rId3"/>
          <a:extLst>
            <a:ext uri="{FF2B5EF4-FFF2-40B4-BE49-F238E27FC236}">
              <a16:creationId xmlns:a16="http://schemas.microsoft.com/office/drawing/2014/main" id="{F73333A7-0CB5-814E-8186-68C738CC389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l="27505" t="1430" r="27486" b="34187"/>
        <a:stretch>
          <a:fillRect/>
        </a:stretch>
      </xdr:blipFill>
      <xdr:spPr bwMode="auto">
        <a:xfrm>
          <a:off x="11717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203200</xdr:colOff>
      <xdr:row>0</xdr:row>
      <xdr:rowOff>342900</xdr:rowOff>
    </xdr:from>
    <xdr:to>
      <xdr:col>8</xdr:col>
      <xdr:colOff>495300</xdr:colOff>
      <xdr:row>0</xdr:row>
      <xdr:rowOff>647700</xdr:rowOff>
    </xdr:to>
    <xdr:pic>
      <xdr:nvPicPr>
        <xdr:cNvPr id="3" name="Picture 5">
          <a:hlinkClick xmlns:r="http://schemas.openxmlformats.org/officeDocument/2006/relationships" r:id="rId5"/>
          <a:extLst>
            <a:ext uri="{FF2B5EF4-FFF2-40B4-BE49-F238E27FC236}">
              <a16:creationId xmlns:a16="http://schemas.microsoft.com/office/drawing/2014/main" id="{66B608A3-4CDA-AB40-9120-E32632A6851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l="27505" t="1430" r="27486" b="34187"/>
        <a:stretch>
          <a:fillRect/>
        </a:stretch>
      </xdr:blipFill>
      <xdr:spPr bwMode="auto">
        <a:xfrm>
          <a:off x="11717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450271</xdr:colOff>
      <xdr:row>0</xdr:row>
      <xdr:rowOff>11546</xdr:rowOff>
    </xdr:from>
    <xdr:to>
      <xdr:col>9</xdr:col>
      <xdr:colOff>522110</xdr:colOff>
      <xdr:row>0</xdr:row>
      <xdr:rowOff>727363</xdr:rowOff>
    </xdr:to>
    <xdr:sp macro="" textlink="">
      <xdr:nvSpPr>
        <xdr:cNvPr id="4" name="5 CuadroTexto">
          <a:extLst>
            <a:ext uri="{FF2B5EF4-FFF2-40B4-BE49-F238E27FC236}">
              <a16:creationId xmlns:a16="http://schemas.microsoft.com/office/drawing/2014/main" id="{B4EC8477-101A-224F-BF66-664E548DD649}"/>
            </a:ext>
          </a:extLst>
        </xdr:cNvPr>
        <xdr:cNvSpPr txBox="1"/>
      </xdr:nvSpPr>
      <xdr:spPr>
        <a:xfrm>
          <a:off x="10751382" y="11546"/>
          <a:ext cx="128539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4</xdr:col>
      <xdr:colOff>585611</xdr:colOff>
      <xdr:row>2</xdr:row>
      <xdr:rowOff>0</xdr:rowOff>
    </xdr:to>
    <xdr:sp macro="" textlink="">
      <xdr:nvSpPr>
        <xdr:cNvPr id="11" name="Recortar rectángulo de esquina del mismo lado 10">
          <a:extLst>
            <a:ext uri="{FF2B5EF4-FFF2-40B4-BE49-F238E27FC236}">
              <a16:creationId xmlns:a16="http://schemas.microsoft.com/office/drawing/2014/main" id="{F5BCEA9C-EDE4-7B47-9D45-314318552AC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11" name="Picture 5">
          <a:hlinkClick xmlns:r="http://schemas.openxmlformats.org/officeDocument/2006/relationships" r:id="rId1"/>
          <a:extLst>
            <a:ext uri="{FF2B5EF4-FFF2-40B4-BE49-F238E27FC236}">
              <a16:creationId xmlns:a16="http://schemas.microsoft.com/office/drawing/2014/main" id="{CDCE8308-14D7-904A-9D22-6C25EAFEA8A2}"/>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3555"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12" name="Picture 5">
          <a:hlinkClick xmlns:r="http://schemas.openxmlformats.org/officeDocument/2006/relationships" r:id="rId3"/>
          <a:extLst>
            <a:ext uri="{FF2B5EF4-FFF2-40B4-BE49-F238E27FC236}">
              <a16:creationId xmlns:a16="http://schemas.microsoft.com/office/drawing/2014/main" id="{35E9745F-C27F-E941-AD82-55E19662874E}"/>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5864"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13" name="5 CuadroTexto">
          <a:extLst>
            <a:ext uri="{FF2B5EF4-FFF2-40B4-BE49-F238E27FC236}">
              <a16:creationId xmlns:a16="http://schemas.microsoft.com/office/drawing/2014/main" id="{4975C849-6E2E-7F44-8F97-D264F995D2AC}"/>
            </a:ext>
          </a:extLst>
        </xdr:cNvPr>
        <xdr:cNvSpPr txBox="1"/>
      </xdr:nvSpPr>
      <xdr:spPr>
        <a:xfrm>
          <a:off x="14490829" y="11546"/>
          <a:ext cx="131361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2243667</xdr:colOff>
      <xdr:row>0</xdr:row>
      <xdr:rowOff>571500</xdr:rowOff>
    </xdr:to>
    <xdr:grpSp>
      <xdr:nvGrpSpPr>
        <xdr:cNvPr id="14" name="Grupo 13">
          <a:extLst>
            <a:ext uri="{FF2B5EF4-FFF2-40B4-BE49-F238E27FC236}">
              <a16:creationId xmlns:a16="http://schemas.microsoft.com/office/drawing/2014/main" id="{2F894214-4274-E54E-B4FE-BED42F9BB4E4}"/>
            </a:ext>
          </a:extLst>
        </xdr:cNvPr>
        <xdr:cNvGrpSpPr/>
      </xdr:nvGrpSpPr>
      <xdr:grpSpPr>
        <a:xfrm>
          <a:off x="0" y="0"/>
          <a:ext cx="2243667" cy="571500"/>
          <a:chOff x="0" y="0"/>
          <a:chExt cx="2243667" cy="571500"/>
        </a:xfrm>
      </xdr:grpSpPr>
      <xdr:pic>
        <xdr:nvPicPr>
          <xdr:cNvPr id="15" name="Imagen 1" descr="C:\Users\Julio Contreras.PC-Julio\Desktop\Logos AC Consulting\encabezado.jpg">
            <a:extLst>
              <a:ext uri="{FF2B5EF4-FFF2-40B4-BE49-F238E27FC236}">
                <a16:creationId xmlns:a16="http://schemas.microsoft.com/office/drawing/2014/main" id="{18CD0B16-3691-936B-CBD4-2167F607928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6" name="Imagen 15">
            <a:extLst>
              <a:ext uri="{FF2B5EF4-FFF2-40B4-BE49-F238E27FC236}">
                <a16:creationId xmlns:a16="http://schemas.microsoft.com/office/drawing/2014/main" id="{04D31B9A-D892-97B0-5FA5-EF65A95B3993}"/>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2589389</xdr:colOff>
      <xdr:row>2</xdr:row>
      <xdr:rowOff>0</xdr:rowOff>
    </xdr:to>
    <xdr:sp macro="" textlink="">
      <xdr:nvSpPr>
        <xdr:cNvPr id="20" name="Recortar rectángulo de esquina del mismo lado 19">
          <a:extLst>
            <a:ext uri="{FF2B5EF4-FFF2-40B4-BE49-F238E27FC236}">
              <a16:creationId xmlns:a16="http://schemas.microsoft.com/office/drawing/2014/main" id="{CB6F1B8E-7606-F348-811B-E7DD454F246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MARKET ANALYZER</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2" name="Picture 5">
          <a:hlinkClick xmlns:r="http://schemas.openxmlformats.org/officeDocument/2006/relationships" r:id="rId1"/>
          <a:extLst>
            <a:ext uri="{FF2B5EF4-FFF2-40B4-BE49-F238E27FC236}">
              <a16:creationId xmlns:a16="http://schemas.microsoft.com/office/drawing/2014/main" id="{32379C47-5C82-434D-8D2D-174926A5AEE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7288"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3" name="Picture 5">
          <a:hlinkClick xmlns:r="http://schemas.openxmlformats.org/officeDocument/2006/relationships" r:id="rId3"/>
          <a:extLst>
            <a:ext uri="{FF2B5EF4-FFF2-40B4-BE49-F238E27FC236}">
              <a16:creationId xmlns:a16="http://schemas.microsoft.com/office/drawing/2014/main" id="{C3E9AF36-9C49-1B49-86D7-E19278A74DD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9597"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4" name="5 CuadroTexto">
          <a:extLst>
            <a:ext uri="{FF2B5EF4-FFF2-40B4-BE49-F238E27FC236}">
              <a16:creationId xmlns:a16="http://schemas.microsoft.com/office/drawing/2014/main" id="{4D13F256-85F5-C744-979C-5FC257A3CA17}"/>
            </a:ext>
          </a:extLst>
        </xdr:cNvPr>
        <xdr:cNvSpPr txBox="1"/>
      </xdr:nvSpPr>
      <xdr:spPr>
        <a:xfrm>
          <a:off x="17493673" y="11546"/>
          <a:ext cx="1302327"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91722</xdr:colOff>
      <xdr:row>2</xdr:row>
      <xdr:rowOff>0</xdr:rowOff>
    </xdr:to>
    <xdr:sp macro="" textlink="">
      <xdr:nvSpPr>
        <xdr:cNvPr id="12" name="Recortar rectángulo de esquina del mismo lado 11">
          <a:extLst>
            <a:ext uri="{FF2B5EF4-FFF2-40B4-BE49-F238E27FC236}">
              <a16:creationId xmlns:a16="http://schemas.microsoft.com/office/drawing/2014/main" id="{6CAF10E3-9497-354B-86D2-1D968635AA6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EXPLICACIÓN TCR</a:t>
          </a:r>
          <a:endParaRPr lang="es-MX" sz="1400" i="1"/>
        </a:p>
      </xdr:txBody>
    </xdr:sp>
    <xdr:clientData/>
  </xdr:twoCellAnchor>
  <xdr:twoCellAnchor>
    <xdr:from>
      <xdr:col>0</xdr:col>
      <xdr:colOff>0</xdr:colOff>
      <xdr:row>0</xdr:row>
      <xdr:rowOff>0</xdr:rowOff>
    </xdr:from>
    <xdr:to>
      <xdr:col>2</xdr:col>
      <xdr:colOff>522111</xdr:colOff>
      <xdr:row>0</xdr:row>
      <xdr:rowOff>571500</xdr:rowOff>
    </xdr:to>
    <xdr:grpSp>
      <xdr:nvGrpSpPr>
        <xdr:cNvPr id="13" name="Grupo 12">
          <a:extLst>
            <a:ext uri="{FF2B5EF4-FFF2-40B4-BE49-F238E27FC236}">
              <a16:creationId xmlns:a16="http://schemas.microsoft.com/office/drawing/2014/main" id="{E1FF8C80-3758-D141-9936-9BD2802DC7DD}"/>
            </a:ext>
          </a:extLst>
        </xdr:cNvPr>
        <xdr:cNvGrpSpPr/>
      </xdr:nvGrpSpPr>
      <xdr:grpSpPr>
        <a:xfrm>
          <a:off x="0" y="0"/>
          <a:ext cx="2243667" cy="571500"/>
          <a:chOff x="0" y="0"/>
          <a:chExt cx="2243667" cy="571500"/>
        </a:xfrm>
      </xdr:grpSpPr>
      <xdr:pic>
        <xdr:nvPicPr>
          <xdr:cNvPr id="14" name="Imagen 1" descr="C:\Users\Julio Contreras.PC-Julio\Desktop\Logos AC Consulting\encabezado.jpg">
            <a:extLst>
              <a:ext uri="{FF2B5EF4-FFF2-40B4-BE49-F238E27FC236}">
                <a16:creationId xmlns:a16="http://schemas.microsoft.com/office/drawing/2014/main" id="{217A5F1C-7AAD-7BD5-C714-413F185E74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5" name="Imagen 14">
            <a:extLst>
              <a:ext uri="{FF2B5EF4-FFF2-40B4-BE49-F238E27FC236}">
                <a16:creationId xmlns:a16="http://schemas.microsoft.com/office/drawing/2014/main" id="{CC3541ED-B5D1-B28A-DE1E-06B804F7420C}"/>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A1232757-41BD-2945-87AE-953718EA0BFA}"/>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867C0992-9242-00F2-B0A1-3981BC7373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011F169-7EAD-B1B4-6634-3EA3526B5D7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348908</xdr:colOff>
      <xdr:row>0</xdr:row>
      <xdr:rowOff>804333</xdr:rowOff>
    </xdr:to>
    <xdr:pic>
      <xdr:nvPicPr>
        <xdr:cNvPr id="2" name="Imagen 1" descr="C:\Users\Julio Contreras.PC-Julio\Desktop\Logos AC Consulting\encabezado.jpg">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07241" cy="804333"/>
        </a:xfrm>
        <a:prstGeom prst="rect">
          <a:avLst/>
        </a:prstGeom>
        <a:noFill/>
        <a:ln>
          <a:noFill/>
        </a:ln>
      </xdr:spPr>
    </xdr:pic>
    <xdr:clientData/>
  </xdr:twoCellAnchor>
  <xdr:twoCellAnchor editAs="oneCell">
    <xdr:from>
      <xdr:col>6</xdr:col>
      <xdr:colOff>1454855</xdr:colOff>
      <xdr:row>1</xdr:row>
      <xdr:rowOff>23989</xdr:rowOff>
    </xdr:from>
    <xdr:to>
      <xdr:col>12</xdr:col>
      <xdr:colOff>715866</xdr:colOff>
      <xdr:row>32</xdr:row>
      <xdr:rowOff>35278</xdr:rowOff>
    </xdr:to>
    <xdr:pic>
      <xdr:nvPicPr>
        <xdr:cNvPr id="3" name="Imagen 2">
          <a:extLst>
            <a:ext uri="{FF2B5EF4-FFF2-40B4-BE49-F238E27FC236}">
              <a16:creationId xmlns:a16="http://schemas.microsoft.com/office/drawing/2014/main" id="{00000000-0008-0000-0D00-000003000000}"/>
            </a:ext>
          </a:extLst>
        </xdr:cNvPr>
        <xdr:cNvPicPr>
          <a:picLocks noChangeAspect="1"/>
        </xdr:cNvPicPr>
      </xdr:nvPicPr>
      <xdr:blipFill>
        <a:blip xmlns:r="http://schemas.openxmlformats.org/officeDocument/2006/relationships" r:embed="rId2"/>
        <a:stretch>
          <a:fillRect/>
        </a:stretch>
      </xdr:blipFill>
      <xdr:spPr>
        <a:xfrm>
          <a:off x="10332155" y="938389"/>
          <a:ext cx="4937911" cy="6626578"/>
        </a:xfrm>
        <a:prstGeom prst="rect">
          <a:avLst/>
        </a:prstGeom>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5" name="Imagen 4">
          <a:hlinkClick xmlns:r="http://schemas.openxmlformats.org/officeDocument/2006/relationships" r:id="rId3"/>
          <a:extLst>
            <a:ext uri="{FF2B5EF4-FFF2-40B4-BE49-F238E27FC236}">
              <a16:creationId xmlns:a16="http://schemas.microsoft.com/office/drawing/2014/main" id="{00000000-0008-0000-0D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986000" y="495300"/>
          <a:ext cx="292100" cy="292100"/>
        </a:xfrm>
        <a:prstGeom prst="rect">
          <a:avLst/>
        </a:prstGeom>
      </xdr:spPr>
    </xdr:pic>
    <xdr:clientData/>
  </xdr:twoCellAnchor>
  <xdr:twoCellAnchor>
    <xdr:from>
      <xdr:col>12</xdr:col>
      <xdr:colOff>419100</xdr:colOff>
      <xdr:row>0</xdr:row>
      <xdr:rowOff>88900</xdr:rowOff>
    </xdr:from>
    <xdr:to>
      <xdr:col>12</xdr:col>
      <xdr:colOff>710698</xdr:colOff>
      <xdr:row>0</xdr:row>
      <xdr:rowOff>394843</xdr:rowOff>
    </xdr:to>
    <xdr:pic>
      <xdr:nvPicPr>
        <xdr:cNvPr id="8" name="Picture 5">
          <a:hlinkClick xmlns:r="http://schemas.openxmlformats.org/officeDocument/2006/relationships" r:id="rId5"/>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6" cstate="print"/>
        <a:srcRect l="27505" t="1430" r="27486" b="34187"/>
        <a:stretch>
          <a:fillRect/>
        </a:stretch>
      </xdr:blipFill>
      <xdr:spPr bwMode="auto">
        <a:xfrm>
          <a:off x="14973300" y="88900"/>
          <a:ext cx="291598" cy="305943"/>
        </a:xfrm>
        <a:prstGeom prst="rect">
          <a:avLst/>
        </a:prstGeom>
        <a:noFill/>
        <a:ln w="9525">
          <a:noFill/>
          <a:miter lim="800000"/>
          <a:headEnd/>
          <a:tailEnd/>
        </a:ln>
        <a:effectLst/>
      </xdr:spPr>
    </xdr:pic>
    <xdr:clientData/>
  </xdr:twoCellAnchor>
  <xdr:twoCellAnchor>
    <xdr:from>
      <xdr:col>0</xdr:col>
      <xdr:colOff>0</xdr:colOff>
      <xdr:row>1</xdr:row>
      <xdr:rowOff>0</xdr:rowOff>
    </xdr:from>
    <xdr:to>
      <xdr:col>3</xdr:col>
      <xdr:colOff>1234722</xdr:colOff>
      <xdr:row>2</xdr:row>
      <xdr:rowOff>0</xdr:rowOff>
    </xdr:to>
    <xdr:sp macro="" textlink="">
      <xdr:nvSpPr>
        <xdr:cNvPr id="4" name="Recortar rectángulo de esquina del mismo lado 3">
          <a:extLst>
            <a:ext uri="{FF2B5EF4-FFF2-40B4-BE49-F238E27FC236}">
              <a16:creationId xmlns:a16="http://schemas.microsoft.com/office/drawing/2014/main" id="{B75CB037-A7A7-D548-B6AF-A273B1CA2DF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ACERCA DE AC CONSULTING</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12</xdr:col>
      <xdr:colOff>203888</xdr:colOff>
      <xdr:row>0</xdr:row>
      <xdr:rowOff>0</xdr:rowOff>
    </xdr:from>
    <xdr:to>
      <xdr:col>12</xdr:col>
      <xdr:colOff>495486</xdr:colOff>
      <xdr:row>0</xdr:row>
      <xdr:rowOff>305943</xdr:rowOff>
    </xdr:to>
    <xdr:pic>
      <xdr:nvPicPr>
        <xdr:cNvPr id="10" name="Picture 5">
          <a:hlinkClick xmlns:r="http://schemas.openxmlformats.org/officeDocument/2006/relationships" r:id="rId1"/>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03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1" name="Picture 5">
          <a:hlinkClick xmlns:r="http://schemas.openxmlformats.org/officeDocument/2006/relationships" r:id="rId3"/>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26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00000000-0008-0000-0E00-00000C000000}"/>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5" name="Grupo 4">
          <a:extLst>
            <a:ext uri="{FF2B5EF4-FFF2-40B4-BE49-F238E27FC236}">
              <a16:creationId xmlns:a16="http://schemas.microsoft.com/office/drawing/2014/main" id="{F8B49417-DFF6-F341-983D-253FFD798D8E}"/>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2995D8B4-7F52-67CE-427B-F39A5BA0B6E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DFF0FBB1-25B5-3DEC-F82A-900821EBDB41}"/>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6</xdr:col>
      <xdr:colOff>162278</xdr:colOff>
      <xdr:row>2</xdr:row>
      <xdr:rowOff>0</xdr:rowOff>
    </xdr:to>
    <xdr:sp macro="" textlink="">
      <xdr:nvSpPr>
        <xdr:cNvPr id="2" name="Recortar rectángulo de esquina del mismo lado 1">
          <a:extLst>
            <a:ext uri="{FF2B5EF4-FFF2-40B4-BE49-F238E27FC236}">
              <a16:creationId xmlns:a16="http://schemas.microsoft.com/office/drawing/2014/main" id="{D10BF210-B800-384D-9C42-7D916B39A388}"/>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PORTAFOLIO DE PRODUCTOS</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590550</xdr:colOff>
      <xdr:row>0</xdr:row>
      <xdr:rowOff>317500</xdr:rowOff>
    </xdr:from>
    <xdr:to>
      <xdr:col>3</xdr:col>
      <xdr:colOff>722608</xdr:colOff>
      <xdr:row>10</xdr:row>
      <xdr:rowOff>127000</xdr:rowOff>
    </xdr:to>
    <xdr:pic>
      <xdr:nvPicPr>
        <xdr:cNvPr id="2" name="Imagen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317500"/>
          <a:ext cx="2608558" cy="2590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00000000-0008-0000-0F00-000003000000}"/>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www.acconsult.net</a:t>
          </a:r>
        </a:p>
        <a:p>
          <a:pPr algn="ctr" eaLnBrk="1" fontAlgn="auto" hangingPunct="1">
            <a:spcBef>
              <a:spcPts val="0"/>
            </a:spcBef>
            <a:spcAft>
              <a:spcPts val="0"/>
            </a:spcAft>
            <a:defRPr/>
          </a:pPr>
          <a:r>
            <a:rPr lang="es-ES" sz="1800">
              <a:latin typeface="Century Gothic" panose="020B0502020202020204" pitchFamily="34" charset="0"/>
            </a:rPr>
            <a:t>contacto@acconsult.net</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La Estancia, CCC Tamanaco, Pirámide Invertida, Piso 5, Oficina 503</a:t>
          </a: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00000000-0008-0000-0F00-000008000000}"/>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www.avgh.org.ve</a:t>
          </a:r>
        </a:p>
        <a:p>
          <a:pPr algn="ctr" eaLnBrk="1" fontAlgn="auto" hangingPunct="1">
            <a:spcBef>
              <a:spcPts val="0"/>
            </a:spcBef>
            <a:spcAft>
              <a:spcPts val="0"/>
            </a:spcAft>
            <a:defRPr/>
          </a:pPr>
          <a:r>
            <a:rPr lang="es-ES" sz="1800">
              <a:latin typeface="Century Gothic" panose="020B0502020202020204" pitchFamily="34" charset="0"/>
            </a:rPr>
            <a:t>informacion@avgh.org.ve</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Venezuela</a:t>
          </a:r>
          <a:r>
            <a:rPr lang="es-CO" sz="1800" baseline="0">
              <a:solidFill>
                <a:schemeClr val="bg1"/>
              </a:solidFill>
            </a:rPr>
            <a:t> de Bello Monte CC El Recreo, Torre sur, Piso 9 Ofc. 9-7</a:t>
          </a:r>
          <a:endParaRPr lang="es-CO" sz="1800">
            <a:solidFill>
              <a:schemeClr val="bg1"/>
            </a:solidFill>
          </a:endParaRP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12</xdr:col>
      <xdr:colOff>203888</xdr:colOff>
      <xdr:row>0</xdr:row>
      <xdr:rowOff>0</xdr:rowOff>
    </xdr:from>
    <xdr:to>
      <xdr:col>12</xdr:col>
      <xdr:colOff>495486</xdr:colOff>
      <xdr:row>0</xdr:row>
      <xdr:rowOff>305943</xdr:rowOff>
    </xdr:to>
    <xdr:pic>
      <xdr:nvPicPr>
        <xdr:cNvPr id="17" name="Picture 5">
          <a:hlinkClick xmlns:r="http://schemas.openxmlformats.org/officeDocument/2006/relationships" r:id="rId2"/>
          <a:extLst>
            <a:ext uri="{FF2B5EF4-FFF2-40B4-BE49-F238E27FC236}">
              <a16:creationId xmlns:a16="http://schemas.microsoft.com/office/drawing/2014/main" id="{00000000-0008-0000-0F00-000011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75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8" name="Picture 5">
          <a:hlinkClick xmlns:r="http://schemas.openxmlformats.org/officeDocument/2006/relationships" r:id="rId4"/>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98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00000000-0008-0000-0F00-000013000000}"/>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451555</xdr:colOff>
      <xdr:row>16</xdr:row>
      <xdr:rowOff>0</xdr:rowOff>
    </xdr:from>
    <xdr:to>
      <xdr:col>3</xdr:col>
      <xdr:colOff>677331</xdr:colOff>
      <xdr:row>20</xdr:row>
      <xdr:rowOff>129873</xdr:rowOff>
    </xdr:to>
    <xdr:pic>
      <xdr:nvPicPr>
        <xdr:cNvPr id="4" name="Imagen 3">
          <a:extLst>
            <a:ext uri="{FF2B5EF4-FFF2-40B4-BE49-F238E27FC236}">
              <a16:creationId xmlns:a16="http://schemas.microsoft.com/office/drawing/2014/main" id="{AEE89C09-4CBA-4A44-9561-7EE4444A8A1B}"/>
            </a:ext>
          </a:extLst>
        </xdr:cNvPr>
        <xdr:cNvPicPr>
          <a:picLocks noChangeAspect="1"/>
        </xdr:cNvPicPr>
      </xdr:nvPicPr>
      <xdr:blipFill>
        <a:blip xmlns:r="http://schemas.openxmlformats.org/officeDocument/2006/relationships" r:embed="rId5"/>
        <a:stretch>
          <a:fillRect/>
        </a:stretch>
      </xdr:blipFill>
      <xdr:spPr>
        <a:xfrm>
          <a:off x="451555" y="3922889"/>
          <a:ext cx="2723443" cy="920095"/>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837E-C0F3-D547-A4D9-479A120051B4}">
  <dimension ref="A12:G23"/>
  <sheetViews>
    <sheetView showGridLines="0" tabSelected="1" zoomScale="120" zoomScaleNormal="120" workbookViewId="0">
      <selection activeCell="G16" sqref="G16"/>
    </sheetView>
  </sheetViews>
  <sheetFormatPr baseColWidth="10" defaultColWidth="10.83203125" defaultRowHeight="16" x14ac:dyDescent="0.2"/>
  <cols>
    <col min="1" max="1" width="20.6640625" style="1" customWidth="1"/>
    <col min="2" max="16384" width="10.83203125" style="1"/>
  </cols>
  <sheetData>
    <row r="12" spans="1:7" ht="21" x14ac:dyDescent="0.25">
      <c r="A12" s="51"/>
      <c r="B12" s="51"/>
      <c r="C12" s="51"/>
      <c r="D12" s="51"/>
      <c r="E12" s="51"/>
      <c r="F12" s="51"/>
    </row>
    <row r="13" spans="1:7" ht="5" customHeight="1" x14ac:dyDescent="0.25">
      <c r="A13" s="38"/>
      <c r="B13" s="40"/>
      <c r="C13" s="38"/>
      <c r="D13" s="38"/>
      <c r="E13" s="38"/>
      <c r="F13" s="39"/>
    </row>
    <row r="14" spans="1:7" ht="21" x14ac:dyDescent="0.25">
      <c r="A14" s="38" t="s">
        <v>0</v>
      </c>
      <c r="B14" s="40"/>
      <c r="C14" s="40"/>
      <c r="D14" s="40"/>
      <c r="E14" s="40"/>
      <c r="F14" s="39"/>
      <c r="G14" s="1"/>
    </row>
    <row r="15" spans="1:7" ht="5" customHeight="1" x14ac:dyDescent="0.25">
      <c r="A15" s="38"/>
      <c r="B15" s="40"/>
      <c r="C15" s="38"/>
      <c r="D15" s="38"/>
      <c r="E15" s="38"/>
      <c r="F15" s="39"/>
    </row>
    <row r="16" spans="1:7" ht="21" x14ac:dyDescent="0.25">
      <c r="A16" s="38" t="s">
        <v>91</v>
      </c>
      <c r="B16" s="40"/>
      <c r="C16" s="40"/>
      <c r="D16" s="40"/>
      <c r="E16" s="40"/>
      <c r="F16" s="39"/>
      <c r="G16" s="1"/>
    </row>
    <row r="17" spans="1:6" ht="5" customHeight="1" x14ac:dyDescent="0.2"/>
    <row r="18" spans="1:6" ht="21" x14ac:dyDescent="0.25">
      <c r="A18" s="38"/>
      <c r="B18" s="40"/>
    </row>
    <row r="19" spans="1:6" ht="21" x14ac:dyDescent="0.25">
      <c r="A19" s="38"/>
      <c r="B19" s="40"/>
    </row>
    <row r="20" spans="1:6" ht="21" x14ac:dyDescent="0.25">
      <c r="A20" s="38"/>
      <c r="B20" s="40"/>
    </row>
    <row r="23" spans="1:6" ht="17" thickBot="1" x14ac:dyDescent="0.25">
      <c r="A23" s="27"/>
      <c r="B23" s="27"/>
      <c r="C23" s="27"/>
      <c r="D23" s="27"/>
      <c r="E23" s="27"/>
      <c r="F23" s="27"/>
    </row>
  </sheetData>
  <sheetProtection selectLockedCells="1" selectUnlockedCells="1"/>
  <mergeCells count="1">
    <mergeCell ref="A12:F12"/>
  </mergeCells>
  <pageMargins left="0.7" right="0.7" top="0.75" bottom="0.75" header="0.3" footer="0.3"/>
  <pageSetup paperSize="9" orientation="landscape"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M38"/>
  <sheetViews>
    <sheetView showGridLines="0" zoomScale="90" zoomScaleNormal="90" workbookViewId="0">
      <selection activeCell="R32" sqref="R32"/>
    </sheetView>
  </sheetViews>
  <sheetFormatPr baseColWidth="10" defaultColWidth="10.83203125" defaultRowHeight="16" x14ac:dyDescent="0.2"/>
  <cols>
    <col min="1" max="3" width="1.83203125" style="4" customWidth="1"/>
    <col min="4" max="6" width="1.83203125" style="5" customWidth="1"/>
    <col min="7" max="9" width="10.83203125" style="5"/>
    <col min="10" max="10" width="8.6640625" style="5" customWidth="1"/>
    <col min="11" max="11" width="2.6640625" style="5" customWidth="1"/>
    <col min="12" max="12" width="10.83203125" style="5"/>
    <col min="13" max="16384" width="10.83203125" style="1"/>
  </cols>
  <sheetData>
    <row r="1" spans="3:13" ht="72" customHeight="1" x14ac:dyDescent="0.2">
      <c r="J1" s="53" t="s">
        <v>134</v>
      </c>
      <c r="K1" s="54"/>
      <c r="L1" s="52"/>
      <c r="M1" s="52"/>
    </row>
    <row r="2" spans="3:13" ht="40" customHeight="1" x14ac:dyDescent="0.2">
      <c r="C2" s="83"/>
      <c r="D2" s="83"/>
      <c r="E2" s="83"/>
      <c r="F2" s="83"/>
      <c r="G2" s="83"/>
      <c r="H2" s="83"/>
      <c r="I2" s="83"/>
      <c r="J2" s="83"/>
      <c r="K2" s="83"/>
      <c r="L2" s="83"/>
      <c r="M2" s="83"/>
    </row>
    <row r="3" spans="3:13" ht="15.75" customHeight="1" x14ac:dyDescent="0.2">
      <c r="C3" s="26"/>
      <c r="D3" s="26"/>
      <c r="E3" s="26"/>
      <c r="F3" s="26"/>
      <c r="G3" s="26"/>
      <c r="H3" s="26"/>
      <c r="I3" s="26"/>
      <c r="J3" s="26"/>
      <c r="K3" s="26"/>
      <c r="L3" s="26"/>
      <c r="M3" s="26"/>
    </row>
    <row r="4" spans="3:13" ht="15.75" customHeight="1" x14ac:dyDescent="0.2">
      <c r="C4" s="26"/>
      <c r="D4" s="26"/>
      <c r="E4" s="26"/>
      <c r="F4" s="26"/>
      <c r="G4" s="26"/>
      <c r="H4" s="26"/>
      <c r="I4" s="26"/>
      <c r="J4" s="26"/>
      <c r="K4" s="26"/>
      <c r="L4" s="26"/>
      <c r="M4" s="26"/>
    </row>
    <row r="5" spans="3:13" ht="15.75" customHeight="1" x14ac:dyDescent="0.2">
      <c r="C5" s="26"/>
      <c r="D5" s="26"/>
      <c r="E5" s="26"/>
      <c r="F5" s="26"/>
      <c r="G5" s="26"/>
      <c r="H5" s="26"/>
      <c r="I5" s="26"/>
      <c r="J5" s="26"/>
      <c r="K5" s="26"/>
      <c r="L5" s="26"/>
      <c r="M5" s="26"/>
    </row>
    <row r="6" spans="3:13" ht="15.75" customHeight="1" x14ac:dyDescent="0.2">
      <c r="C6" s="26"/>
      <c r="D6" s="26"/>
      <c r="E6" s="26"/>
      <c r="F6" s="26"/>
      <c r="G6" s="26"/>
      <c r="H6" s="26"/>
      <c r="I6" s="26"/>
      <c r="J6" s="26"/>
      <c r="K6" s="26"/>
      <c r="L6" s="26"/>
      <c r="M6" s="26"/>
    </row>
    <row r="7" spans="3:13" ht="15.75" customHeight="1" x14ac:dyDescent="0.2">
      <c r="C7" s="26"/>
      <c r="D7" s="26"/>
      <c r="E7" s="26"/>
      <c r="F7" s="26"/>
      <c r="G7" s="26"/>
      <c r="H7" s="26"/>
      <c r="I7" s="26"/>
      <c r="J7" s="26"/>
      <c r="K7" s="26"/>
      <c r="L7" s="26"/>
      <c r="M7" s="26"/>
    </row>
    <row r="8" spans="3:13" ht="15.75" customHeight="1" x14ac:dyDescent="0.2">
      <c r="C8" s="26"/>
      <c r="D8" s="26"/>
      <c r="E8" s="26"/>
      <c r="F8" s="26"/>
      <c r="G8" s="26"/>
      <c r="H8" s="26"/>
      <c r="I8" s="26"/>
      <c r="J8" s="26"/>
      <c r="K8" s="26"/>
      <c r="L8" s="26"/>
      <c r="M8" s="26"/>
    </row>
    <row r="9" spans="3:13" ht="15.75" customHeight="1" x14ac:dyDescent="0.2">
      <c r="C9" s="26"/>
      <c r="D9" s="26"/>
      <c r="E9" s="26"/>
      <c r="F9" s="26"/>
      <c r="G9" s="26"/>
      <c r="H9" s="26"/>
      <c r="I9" s="26"/>
      <c r="J9" s="26"/>
      <c r="K9" s="26"/>
      <c r="L9" s="26"/>
      <c r="M9" s="26"/>
    </row>
    <row r="10" spans="3:13" ht="15.75" customHeight="1" x14ac:dyDescent="0.2">
      <c r="C10" s="26"/>
      <c r="D10" s="26"/>
      <c r="E10" s="26"/>
      <c r="F10" s="26"/>
      <c r="G10" s="26"/>
      <c r="H10" s="26"/>
      <c r="I10" s="26"/>
      <c r="J10" s="26"/>
      <c r="K10" s="26"/>
      <c r="L10" s="26"/>
      <c r="M10" s="26"/>
    </row>
    <row r="11" spans="3:13" ht="15.75" customHeight="1" x14ac:dyDescent="0.2">
      <c r="C11" s="26"/>
      <c r="D11" s="26"/>
      <c r="E11" s="26"/>
      <c r="F11" s="26"/>
      <c r="G11" s="26"/>
      <c r="H11" s="26"/>
      <c r="I11" s="26"/>
      <c r="J11" s="26"/>
      <c r="K11" s="26"/>
      <c r="L11" s="26"/>
      <c r="M11" s="26"/>
    </row>
    <row r="12" spans="3:13" ht="15.75" customHeight="1" x14ac:dyDescent="0.2">
      <c r="C12" s="26"/>
      <c r="D12" s="26"/>
      <c r="E12" s="26"/>
      <c r="F12" s="26"/>
      <c r="G12" s="26"/>
      <c r="H12" s="26"/>
      <c r="I12" s="26"/>
      <c r="J12" s="26"/>
      <c r="K12" s="26"/>
      <c r="L12" s="26"/>
      <c r="M12" s="26"/>
    </row>
    <row r="13" spans="3:13" ht="15.75" customHeight="1" x14ac:dyDescent="0.2">
      <c r="C13" s="26"/>
      <c r="D13" s="26"/>
      <c r="E13" s="26"/>
      <c r="F13" s="26"/>
      <c r="G13" s="26"/>
      <c r="H13" s="26"/>
      <c r="I13" s="26"/>
      <c r="J13" s="26"/>
      <c r="K13" s="26"/>
      <c r="L13" s="26"/>
      <c r="M13" s="26"/>
    </row>
    <row r="14" spans="3:13" ht="15.75" customHeight="1" x14ac:dyDescent="0.2">
      <c r="C14" s="26"/>
      <c r="D14" s="26"/>
      <c r="E14" s="26"/>
      <c r="F14" s="26"/>
      <c r="G14" s="26"/>
      <c r="H14" s="26"/>
      <c r="I14" s="26"/>
      <c r="J14" s="26"/>
      <c r="K14" s="26"/>
      <c r="L14" s="26"/>
      <c r="M14" s="26"/>
    </row>
    <row r="15" spans="3:13" ht="15.75" customHeight="1" x14ac:dyDescent="0.2">
      <c r="C15" s="26"/>
      <c r="D15" s="26"/>
      <c r="E15" s="26"/>
      <c r="F15" s="26"/>
      <c r="G15" s="26"/>
      <c r="H15" s="26"/>
      <c r="I15" s="26"/>
      <c r="J15" s="26"/>
      <c r="K15" s="26"/>
      <c r="L15" s="26"/>
      <c r="M15" s="26"/>
    </row>
    <row r="16" spans="3:13" ht="15.75" customHeight="1" x14ac:dyDescent="0.2">
      <c r="C16" s="26"/>
      <c r="D16" s="26"/>
      <c r="E16" s="26"/>
      <c r="F16" s="26"/>
      <c r="G16" s="26"/>
      <c r="H16" s="26"/>
      <c r="I16" s="26"/>
      <c r="J16" s="26"/>
      <c r="K16" s="26"/>
      <c r="L16" s="26"/>
      <c r="M16" s="26"/>
    </row>
    <row r="17" spans="3:13" ht="15.75" customHeight="1" x14ac:dyDescent="0.2">
      <c r="C17" s="26"/>
      <c r="D17" s="26"/>
      <c r="E17" s="26"/>
      <c r="F17" s="26"/>
      <c r="G17" s="26"/>
      <c r="H17" s="26"/>
      <c r="I17" s="26"/>
      <c r="J17" s="26"/>
      <c r="K17" s="26"/>
      <c r="L17" s="26"/>
      <c r="M17" s="26"/>
    </row>
    <row r="18" spans="3:13" ht="15.75" customHeight="1" x14ac:dyDescent="0.2">
      <c r="C18" s="26"/>
      <c r="D18" s="26"/>
      <c r="E18" s="26"/>
      <c r="F18" s="26"/>
      <c r="G18" s="26"/>
      <c r="H18" s="26"/>
      <c r="I18" s="26"/>
      <c r="J18" s="26"/>
      <c r="K18" s="26"/>
      <c r="L18" s="26"/>
      <c r="M18" s="26"/>
    </row>
    <row r="19" spans="3:13" ht="15.75" customHeight="1" x14ac:dyDescent="0.2">
      <c r="C19" s="26"/>
      <c r="D19" s="26"/>
      <c r="E19" s="26"/>
      <c r="F19" s="26"/>
      <c r="G19" s="26"/>
      <c r="H19" s="26"/>
      <c r="I19" s="26"/>
      <c r="J19" s="26"/>
      <c r="K19" s="26"/>
      <c r="L19" s="26"/>
      <c r="M19" s="26"/>
    </row>
    <row r="20" spans="3:13" ht="15.75" customHeight="1" x14ac:dyDescent="0.2">
      <c r="C20" s="26"/>
      <c r="D20" s="26"/>
      <c r="E20" s="26"/>
      <c r="F20" s="26"/>
      <c r="G20" s="26"/>
      <c r="H20" s="26"/>
      <c r="I20" s="26"/>
      <c r="J20" s="26"/>
      <c r="K20" s="26"/>
      <c r="L20" s="26"/>
      <c r="M20" s="26"/>
    </row>
    <row r="21" spans="3:13" ht="15.75" customHeight="1" x14ac:dyDescent="0.2">
      <c r="C21" s="26"/>
      <c r="D21" s="26"/>
      <c r="E21" s="26"/>
      <c r="F21" s="26"/>
      <c r="G21" s="26"/>
      <c r="H21" s="26"/>
      <c r="I21" s="26"/>
      <c r="J21" s="26"/>
      <c r="K21" s="26"/>
      <c r="L21" s="26"/>
      <c r="M21" s="26"/>
    </row>
    <row r="22" spans="3:13" ht="15.75" customHeight="1" x14ac:dyDescent="0.2">
      <c r="C22" s="26"/>
      <c r="D22" s="26"/>
      <c r="E22" s="26"/>
      <c r="F22" s="26"/>
      <c r="G22" s="26"/>
      <c r="H22" s="26"/>
      <c r="I22" s="26"/>
      <c r="J22" s="26"/>
      <c r="K22" s="26"/>
      <c r="L22" s="26"/>
      <c r="M22" s="26"/>
    </row>
    <row r="23" spans="3:13" ht="15.75" customHeight="1" x14ac:dyDescent="0.2">
      <c r="C23" s="26"/>
      <c r="D23" s="26"/>
      <c r="E23" s="26"/>
      <c r="F23" s="26"/>
      <c r="G23" s="26"/>
      <c r="H23" s="26"/>
      <c r="I23" s="26"/>
      <c r="J23" s="26"/>
      <c r="K23" s="26"/>
      <c r="L23" s="26"/>
      <c r="M23" s="26"/>
    </row>
    <row r="24" spans="3:13" ht="15.75" customHeight="1" x14ac:dyDescent="0.2">
      <c r="C24" s="26"/>
      <c r="D24" s="26"/>
      <c r="E24" s="26"/>
      <c r="F24" s="26"/>
      <c r="G24" s="26"/>
      <c r="H24" s="26"/>
      <c r="I24" s="26"/>
      <c r="J24" s="26"/>
      <c r="K24" s="26"/>
      <c r="L24" s="26"/>
      <c r="M24" s="26"/>
    </row>
    <row r="25" spans="3:13" ht="15.75" customHeight="1" x14ac:dyDescent="0.2">
      <c r="C25" s="26"/>
      <c r="D25" s="26"/>
      <c r="E25" s="26"/>
      <c r="F25" s="26"/>
      <c r="G25" s="26"/>
      <c r="H25" s="26"/>
      <c r="I25" s="26"/>
      <c r="J25" s="26"/>
      <c r="K25" s="26"/>
      <c r="L25" s="26"/>
      <c r="M25" s="26"/>
    </row>
    <row r="26" spans="3:13" ht="15.75" customHeight="1" x14ac:dyDescent="0.2">
      <c r="C26" s="26"/>
      <c r="D26" s="26"/>
      <c r="E26" s="26"/>
      <c r="F26" s="26"/>
      <c r="G26" s="26"/>
      <c r="H26" s="26"/>
      <c r="I26" s="26"/>
      <c r="J26" s="26"/>
      <c r="K26" s="26"/>
      <c r="L26" s="26"/>
      <c r="M26" s="26"/>
    </row>
    <row r="27" spans="3:13" ht="15.75" customHeight="1" x14ac:dyDescent="0.2">
      <c r="C27" s="26"/>
      <c r="D27" s="26"/>
      <c r="E27" s="26"/>
      <c r="F27" s="26"/>
      <c r="G27" s="26"/>
      <c r="H27" s="26"/>
      <c r="I27" s="26"/>
      <c r="J27" s="26"/>
      <c r="K27" s="26"/>
      <c r="L27" s="26"/>
      <c r="M27" s="26"/>
    </row>
    <row r="28" spans="3:13" ht="15.75" customHeight="1" x14ac:dyDescent="0.2">
      <c r="C28" s="26"/>
      <c r="D28" s="26"/>
      <c r="E28" s="26"/>
      <c r="F28" s="26"/>
      <c r="G28" s="26"/>
      <c r="H28" s="26"/>
      <c r="I28" s="26"/>
      <c r="J28" s="26"/>
      <c r="K28" s="26"/>
      <c r="L28" s="26"/>
      <c r="M28" s="26"/>
    </row>
    <row r="29" spans="3:13" ht="15.75" customHeight="1" x14ac:dyDescent="0.2">
      <c r="C29" s="26"/>
      <c r="D29" s="26"/>
      <c r="E29" s="26"/>
      <c r="F29" s="26"/>
      <c r="G29" s="26"/>
      <c r="H29" s="26"/>
      <c r="I29" s="26"/>
      <c r="J29" s="26"/>
      <c r="K29" s="26"/>
      <c r="L29" s="26"/>
      <c r="M29" s="26"/>
    </row>
    <row r="30" spans="3:13" ht="15.75" customHeight="1" x14ac:dyDescent="0.2">
      <c r="C30" s="26"/>
      <c r="D30" s="26"/>
      <c r="E30" s="26"/>
      <c r="F30" s="26"/>
      <c r="G30" s="26"/>
      <c r="H30" s="26"/>
      <c r="I30" s="26"/>
      <c r="J30" s="26"/>
      <c r="K30" s="26"/>
      <c r="L30" s="26"/>
      <c r="M30" s="26"/>
    </row>
    <row r="31" spans="3:13" ht="15.75" customHeight="1" x14ac:dyDescent="0.2">
      <c r="C31" s="26"/>
      <c r="D31" s="26"/>
      <c r="E31" s="26"/>
      <c r="F31" s="26"/>
      <c r="G31" s="26"/>
      <c r="H31" s="26"/>
      <c r="I31" s="26"/>
      <c r="J31" s="26"/>
      <c r="K31" s="26"/>
      <c r="L31" s="26"/>
      <c r="M31" s="26"/>
    </row>
    <row r="32" spans="3:13" ht="15.75" customHeight="1" x14ac:dyDescent="0.2">
      <c r="C32" s="26"/>
      <c r="D32" s="26"/>
      <c r="E32" s="26"/>
      <c r="F32" s="26"/>
      <c r="G32" s="26"/>
      <c r="H32" s="26"/>
      <c r="I32" s="26"/>
      <c r="J32" s="26"/>
      <c r="K32" s="26"/>
      <c r="L32" s="26"/>
      <c r="M32" s="26"/>
    </row>
    <row r="33" spans="3:13" ht="15.75" customHeight="1" x14ac:dyDescent="0.2">
      <c r="C33" s="26"/>
      <c r="D33" s="26"/>
      <c r="E33" s="26"/>
      <c r="F33" s="26"/>
      <c r="G33" s="26"/>
      <c r="H33" s="26"/>
      <c r="I33" s="26"/>
      <c r="J33" s="26"/>
      <c r="K33" s="26"/>
      <c r="L33" s="26"/>
      <c r="M33" s="26"/>
    </row>
    <row r="34" spans="3:13" ht="15.75" customHeight="1" x14ac:dyDescent="0.2">
      <c r="C34" s="26"/>
      <c r="D34" s="26"/>
      <c r="E34" s="26"/>
      <c r="F34" s="26"/>
      <c r="G34" s="26"/>
      <c r="H34" s="26"/>
      <c r="I34" s="26"/>
      <c r="J34" s="26"/>
      <c r="K34" s="26"/>
      <c r="L34" s="26"/>
      <c r="M34" s="26"/>
    </row>
    <row r="35" spans="3:13" ht="15.75" customHeight="1" x14ac:dyDescent="0.2">
      <c r="C35" s="26"/>
      <c r="D35" s="26"/>
      <c r="E35" s="26"/>
      <c r="F35" s="26"/>
      <c r="G35" s="26"/>
      <c r="H35" s="26"/>
      <c r="I35" s="26"/>
      <c r="J35" s="26"/>
      <c r="K35" s="26"/>
      <c r="L35" s="26"/>
      <c r="M35" s="26"/>
    </row>
    <row r="36" spans="3:13" ht="15.75" customHeight="1" x14ac:dyDescent="0.2">
      <c r="C36" s="26"/>
      <c r="D36" s="26"/>
      <c r="E36" s="26"/>
      <c r="F36" s="26"/>
      <c r="G36" s="26"/>
      <c r="H36" s="26"/>
      <c r="I36" s="26"/>
      <c r="J36" s="26"/>
      <c r="K36" s="26"/>
      <c r="L36" s="26"/>
      <c r="M36" s="26"/>
    </row>
    <row r="37" spans="3:13" ht="15.75" customHeight="1" x14ac:dyDescent="0.2">
      <c r="C37" s="26"/>
      <c r="D37" s="26"/>
      <c r="E37" s="26"/>
      <c r="F37" s="26"/>
      <c r="G37" s="26"/>
      <c r="H37" s="26"/>
      <c r="I37" s="26"/>
      <c r="J37" s="26"/>
      <c r="K37" s="26"/>
      <c r="L37" s="26"/>
      <c r="M37" s="26"/>
    </row>
    <row r="38" spans="3:13" ht="15.75" customHeight="1" x14ac:dyDescent="0.2">
      <c r="C38" s="26"/>
      <c r="D38" s="26"/>
      <c r="E38" s="26"/>
      <c r="F38" s="26"/>
      <c r="G38" s="26"/>
      <c r="H38" s="26"/>
      <c r="I38" s="26"/>
      <c r="J38" s="26"/>
      <c r="K38" s="26"/>
      <c r="L38" s="26"/>
      <c r="M38" s="26"/>
    </row>
  </sheetData>
  <sheetProtection selectLockedCells="1" selectUnlockedCells="1"/>
  <mergeCells count="2">
    <mergeCell ref="L1:M1"/>
    <mergeCell ref="J1:K1"/>
  </mergeCell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M12"/>
  <sheetViews>
    <sheetView showGridLines="0" zoomScale="90" zoomScaleNormal="90" workbookViewId="0"/>
  </sheetViews>
  <sheetFormatPr baseColWidth="10" defaultColWidth="10.83203125" defaultRowHeight="16" x14ac:dyDescent="0.2"/>
  <cols>
    <col min="1" max="3" width="1.83203125" style="4" customWidth="1"/>
    <col min="4" max="6" width="1.83203125" style="5" customWidth="1"/>
    <col min="7" max="8" width="10.83203125" style="5"/>
    <col min="9" max="9" width="14.5" style="1" customWidth="1"/>
    <col min="10" max="10" width="8.6640625" style="1" customWidth="1"/>
    <col min="11" max="11" width="2.6640625" style="1" customWidth="1"/>
    <col min="12" max="16384" width="10.83203125" style="1"/>
  </cols>
  <sheetData>
    <row r="1" spans="1:13" ht="72" customHeight="1" x14ac:dyDescent="0.2">
      <c r="I1" s="15"/>
      <c r="J1" s="53" t="s">
        <v>134</v>
      </c>
      <c r="K1" s="54"/>
      <c r="L1" s="52"/>
      <c r="M1" s="52"/>
    </row>
    <row r="2" spans="1:13" ht="40" customHeight="1" x14ac:dyDescent="0.2">
      <c r="B2" s="83"/>
      <c r="C2" s="83"/>
      <c r="D2" s="83"/>
      <c r="E2" s="83"/>
      <c r="F2" s="83"/>
      <c r="G2" s="83"/>
      <c r="H2" s="83"/>
      <c r="I2" s="83"/>
      <c r="J2" s="83"/>
      <c r="K2" s="83"/>
      <c r="L2" s="83"/>
      <c r="M2" s="83"/>
    </row>
    <row r="3" spans="1:13" ht="20" customHeight="1" x14ac:dyDescent="0.2">
      <c r="B3" s="83"/>
      <c r="C3" s="83"/>
      <c r="D3" s="83"/>
      <c r="E3" s="83"/>
      <c r="F3" s="83"/>
      <c r="G3" s="83"/>
      <c r="H3" s="83"/>
      <c r="I3" s="83"/>
      <c r="J3" s="83"/>
      <c r="K3" s="83"/>
      <c r="L3" s="83"/>
      <c r="M3" s="83"/>
    </row>
    <row r="4" spans="1:13" ht="20" customHeight="1" x14ac:dyDescent="0.2">
      <c r="A4" s="6" t="s">
        <v>2</v>
      </c>
      <c r="B4" s="57" t="s">
        <v>1</v>
      </c>
      <c r="C4" s="57"/>
      <c r="D4" s="57"/>
      <c r="E4" s="57"/>
      <c r="F4" s="57"/>
      <c r="G4" s="57"/>
      <c r="H4" s="57"/>
      <c r="I4" s="57"/>
      <c r="J4" s="57"/>
    </row>
    <row r="5" spans="1:13" s="7" customFormat="1" ht="20" customHeight="1" x14ac:dyDescent="0.2">
      <c r="A5" s="6" t="s">
        <v>2</v>
      </c>
      <c r="B5" s="55" t="s">
        <v>417</v>
      </c>
      <c r="C5" s="55"/>
      <c r="D5" s="55"/>
      <c r="E5" s="55"/>
      <c r="F5" s="55"/>
      <c r="G5" s="55"/>
      <c r="H5" s="55"/>
      <c r="I5" s="55"/>
      <c r="J5" s="55"/>
    </row>
    <row r="6" spans="1:13" s="7" customFormat="1" ht="20" customHeight="1" x14ac:dyDescent="0.2">
      <c r="A6" s="6" t="s">
        <v>2</v>
      </c>
      <c r="B6" s="55" t="s">
        <v>90</v>
      </c>
      <c r="C6" s="55"/>
      <c r="D6" s="55"/>
      <c r="E6" s="55"/>
      <c r="F6" s="55"/>
      <c r="G6" s="55"/>
      <c r="H6" s="55"/>
      <c r="I6" s="55"/>
      <c r="J6" s="55"/>
    </row>
    <row r="7" spans="1:13" s="7" customFormat="1" ht="20" customHeight="1" x14ac:dyDescent="0.2">
      <c r="A7" s="6" t="s">
        <v>2</v>
      </c>
      <c r="B7" s="55" t="s">
        <v>497</v>
      </c>
      <c r="C7" s="55"/>
      <c r="D7" s="55"/>
      <c r="E7" s="55"/>
      <c r="F7" s="55"/>
      <c r="G7" s="55"/>
      <c r="H7" s="55"/>
      <c r="I7" s="55"/>
      <c r="J7" s="55"/>
    </row>
    <row r="8" spans="1:13" s="7" customFormat="1" ht="20" customHeight="1" x14ac:dyDescent="0.2">
      <c r="A8" s="6"/>
      <c r="B8" s="6"/>
      <c r="C8" s="6" t="s">
        <v>2</v>
      </c>
      <c r="D8" s="56" t="s">
        <v>4</v>
      </c>
      <c r="E8" s="56"/>
      <c r="F8" s="56"/>
      <c r="G8" s="56"/>
      <c r="H8" s="56"/>
    </row>
    <row r="9" spans="1:13" s="7" customFormat="1" ht="20" customHeight="1" x14ac:dyDescent="0.2">
      <c r="A9" s="6"/>
      <c r="B9" s="6"/>
      <c r="C9" s="6"/>
      <c r="D9" s="9" t="s">
        <v>2</v>
      </c>
      <c r="E9" s="55" t="s">
        <v>4</v>
      </c>
      <c r="F9" s="55"/>
      <c r="G9" s="55"/>
      <c r="H9" s="55"/>
    </row>
    <row r="10" spans="1:13" s="7" customFormat="1" ht="20" customHeight="1" x14ac:dyDescent="0.2">
      <c r="A10" s="6"/>
      <c r="B10" s="6"/>
      <c r="C10" s="6"/>
      <c r="D10" s="9" t="s">
        <v>2</v>
      </c>
      <c r="E10" s="55" t="s">
        <v>5</v>
      </c>
      <c r="F10" s="55"/>
      <c r="G10" s="55"/>
      <c r="H10" s="55"/>
    </row>
    <row r="11" spans="1:13" s="7" customFormat="1" ht="20" customHeight="1" x14ac:dyDescent="0.2">
      <c r="A11" s="6"/>
      <c r="B11" s="6"/>
      <c r="C11" s="6"/>
      <c r="D11" s="9" t="s">
        <v>2</v>
      </c>
      <c r="E11" s="55" t="s">
        <v>6</v>
      </c>
      <c r="F11" s="55"/>
      <c r="G11" s="55"/>
      <c r="H11" s="55"/>
    </row>
    <row r="12" spans="1:13" ht="24" x14ac:dyDescent="0.2">
      <c r="J12" s="26"/>
      <c r="K12" s="26"/>
      <c r="L12" s="26"/>
      <c r="M12" s="26"/>
    </row>
  </sheetData>
  <mergeCells count="10">
    <mergeCell ref="B4:J4"/>
    <mergeCell ref="B5:J5"/>
    <mergeCell ref="B6:J6"/>
    <mergeCell ref="B7:J7"/>
    <mergeCell ref="J1:K1"/>
    <mergeCell ref="L1:M1"/>
    <mergeCell ref="E11:H11"/>
    <mergeCell ref="D8:H8"/>
    <mergeCell ref="E9:H9"/>
    <mergeCell ref="E10:H10"/>
  </mergeCells>
  <hyperlinks>
    <hyperlink ref="B5:H5" location="'Distribución de Compensación'!A1" display="DISTRIBUCIÓN DE COMPENSACIÓN" xr:uid="{00000000-0004-0000-0200-000000000000}"/>
    <hyperlink ref="B6:H6" location="'Market Analyzer'!A1" display="MARKET ANALYZER" xr:uid="{00000000-0004-0000-0200-000001000000}"/>
    <hyperlink ref="E9:H9" location="'Acerca de AC Consulting '!A1" display="ACERCA DE AC CONSULTING" xr:uid="{00000000-0004-0000-0200-000004000000}"/>
    <hyperlink ref="E10:H10" location="'Portafolio de Productos'!A1" display="PORTAFOLIO DE PRODUCTOS" xr:uid="{00000000-0004-0000-0200-000005000000}"/>
    <hyperlink ref="E11:H11" location="Contacto!A1" display="CONTACTO" xr:uid="{00000000-0004-0000-0200-000007000000}"/>
    <hyperlink ref="B5:J5" location="'Distribución de Compensación'!A1" display="DISTRIBUCIÓN DE COMPENSACIÓN" xr:uid="{5AE1570A-E8F1-5D49-9268-9920C4EAD2A5}"/>
    <hyperlink ref="B6:J6" location="'Market Analyzer'!A1" display="MARKET ANALYZER" xr:uid="{006AA325-AAF2-BA41-B017-209D4AB29BB6}"/>
    <hyperlink ref="B7:J7" location="'Explicación TCR'!A1" display="EXPLICACIÓN TCR" xr:uid="{F5808B29-BAA8-9345-94DE-89D53A645CCC}"/>
  </hyperlinks>
  <printOptions horizontalCentered="1" verticalCentered="1"/>
  <pageMargins left="0.7" right="0.7" top="0" bottom="0" header="0" footer="0.3"/>
  <pageSetup paperSize="9" orientation="landscape"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1C217-77BD-704E-964B-C88027B957C5}">
  <dimension ref="A1:U247"/>
  <sheetViews>
    <sheetView showGridLines="0" zoomScale="90" zoomScaleNormal="90" workbookViewId="0">
      <selection activeCell="K2" sqref="K2"/>
    </sheetView>
  </sheetViews>
  <sheetFormatPr baseColWidth="10" defaultRowHeight="16" x14ac:dyDescent="0.2"/>
  <cols>
    <col min="1" max="1" width="10.83203125" style="1"/>
    <col min="2" max="2" width="11" style="3" customWidth="1"/>
    <col min="3" max="5" width="10.83203125" style="1"/>
    <col min="6" max="6" width="5.83203125" style="1" customWidth="1"/>
    <col min="7" max="7" width="8.6640625" style="1" customWidth="1"/>
    <col min="8" max="8" width="2.6640625" style="1" customWidth="1"/>
    <col min="9" max="16384" width="10.83203125" style="1"/>
  </cols>
  <sheetData>
    <row r="1" spans="1:19" ht="72" customHeight="1" x14ac:dyDescent="0.2">
      <c r="G1" s="53"/>
      <c r="H1" s="54"/>
      <c r="I1" s="52"/>
      <c r="J1" s="52"/>
      <c r="K1" s="24"/>
      <c r="P1" s="53" t="s">
        <v>134</v>
      </c>
      <c r="Q1" s="54"/>
      <c r="R1" s="52"/>
      <c r="S1" s="52"/>
    </row>
    <row r="2" spans="1:19" ht="40" customHeight="1" x14ac:dyDescent="0.2">
      <c r="A2" s="14"/>
      <c r="B2" s="14"/>
      <c r="C2" s="14"/>
      <c r="D2" s="14"/>
      <c r="E2" s="14"/>
      <c r="F2" s="14"/>
      <c r="G2" s="14"/>
      <c r="H2" s="14"/>
      <c r="I2" s="14"/>
      <c r="J2" s="14"/>
      <c r="K2" s="14"/>
      <c r="L2" s="14"/>
      <c r="M2" s="14"/>
      <c r="N2" s="14"/>
      <c r="O2" s="14"/>
      <c r="P2" s="14"/>
      <c r="Q2" s="14"/>
      <c r="R2" s="14"/>
    </row>
    <row r="3" spans="1:19" ht="15.75" customHeight="1" x14ac:dyDescent="0.2">
      <c r="A3" s="30"/>
      <c r="B3" s="30"/>
      <c r="C3" s="30"/>
      <c r="D3" s="30"/>
      <c r="E3" s="30"/>
      <c r="F3" s="30"/>
      <c r="G3" s="30"/>
      <c r="H3" s="30"/>
      <c r="I3" s="30"/>
      <c r="J3" s="30"/>
      <c r="K3" s="14"/>
      <c r="L3" s="14"/>
      <c r="M3" s="14"/>
    </row>
    <row r="4" spans="1:19" ht="15.75" customHeight="1" x14ac:dyDescent="0.2">
      <c r="A4" s="30"/>
      <c r="B4" s="30"/>
      <c r="C4" s="30"/>
      <c r="D4" s="30"/>
      <c r="E4" s="30"/>
      <c r="F4" s="30"/>
      <c r="G4" s="30"/>
      <c r="H4" s="30"/>
      <c r="I4" s="30"/>
      <c r="J4" s="30"/>
      <c r="K4" s="14"/>
      <c r="L4" s="14"/>
      <c r="M4" s="14"/>
    </row>
    <row r="5" spans="1:19" ht="15.75" customHeight="1" x14ac:dyDescent="0.2">
      <c r="A5" s="30"/>
      <c r="B5" s="30"/>
      <c r="C5" s="30"/>
      <c r="D5" s="30"/>
      <c r="E5" s="30"/>
      <c r="F5" s="30"/>
      <c r="G5" s="30"/>
      <c r="H5" s="30"/>
      <c r="I5" s="30"/>
      <c r="J5" s="30"/>
      <c r="K5" s="14"/>
      <c r="L5" s="14"/>
      <c r="M5" s="14"/>
    </row>
    <row r="6" spans="1:19" ht="15.75" customHeight="1" x14ac:dyDescent="0.2">
      <c r="A6" s="30"/>
      <c r="B6" s="30"/>
      <c r="C6" s="30"/>
      <c r="D6" s="30"/>
      <c r="E6" s="30"/>
      <c r="F6" s="30"/>
      <c r="G6" s="30"/>
      <c r="H6" s="30"/>
      <c r="I6" s="30"/>
      <c r="J6" s="30"/>
      <c r="K6" s="14"/>
      <c r="L6" s="14"/>
      <c r="M6" s="14"/>
    </row>
    <row r="7" spans="1:19" ht="15.75" customHeight="1" x14ac:dyDescent="0.2">
      <c r="A7" s="30"/>
      <c r="B7" s="30"/>
      <c r="C7" s="30"/>
      <c r="D7" s="30"/>
      <c r="E7" s="30"/>
      <c r="F7" s="30"/>
      <c r="G7" s="30"/>
      <c r="H7" s="30"/>
      <c r="I7" s="30"/>
      <c r="J7" s="30"/>
      <c r="K7" s="14"/>
      <c r="L7" s="14"/>
      <c r="M7" s="14"/>
    </row>
    <row r="8" spans="1:19" ht="15.75" customHeight="1" x14ac:dyDescent="0.2">
      <c r="A8" s="30"/>
      <c r="B8" s="30"/>
      <c r="C8" s="30"/>
      <c r="D8" s="30"/>
      <c r="E8" s="30"/>
      <c r="F8" s="30"/>
      <c r="G8" s="30"/>
      <c r="H8" s="30"/>
      <c r="I8" s="30"/>
      <c r="J8" s="30"/>
      <c r="K8" s="14"/>
      <c r="L8" s="14"/>
      <c r="M8" s="14"/>
    </row>
    <row r="9" spans="1:19" ht="15.75" customHeight="1" x14ac:dyDescent="0.2">
      <c r="A9" s="30"/>
      <c r="B9" s="30"/>
      <c r="C9" s="30"/>
      <c r="D9" s="30"/>
      <c r="E9" s="30"/>
      <c r="F9" s="30"/>
      <c r="G9" s="30"/>
      <c r="H9" s="30"/>
      <c r="I9" s="30"/>
      <c r="J9" s="30"/>
      <c r="K9" s="14"/>
      <c r="L9" s="14"/>
      <c r="M9" s="14"/>
    </row>
    <row r="10" spans="1:19" ht="15.75" customHeight="1" x14ac:dyDescent="0.2">
      <c r="A10" s="30"/>
      <c r="B10" s="30"/>
      <c r="C10" s="30"/>
      <c r="D10" s="30"/>
      <c r="E10" s="30"/>
      <c r="F10" s="30"/>
      <c r="G10" s="30"/>
      <c r="H10" s="30"/>
      <c r="I10" s="30"/>
      <c r="J10" s="30"/>
      <c r="K10" s="14"/>
      <c r="L10" s="14"/>
      <c r="M10" s="14"/>
    </row>
    <row r="11" spans="1:19" ht="15.75" customHeight="1" x14ac:dyDescent="0.2">
      <c r="A11" s="30"/>
      <c r="B11" s="30"/>
      <c r="C11" s="30"/>
      <c r="D11" s="30"/>
      <c r="E11" s="30"/>
      <c r="F11" s="30"/>
      <c r="G11" s="30"/>
      <c r="H11" s="30"/>
      <c r="I11" s="30"/>
      <c r="J11" s="30"/>
      <c r="K11" s="14"/>
      <c r="L11" s="14"/>
      <c r="M11" s="14"/>
    </row>
    <row r="12" spans="1:19" ht="15.75" customHeight="1" x14ac:dyDescent="0.2">
      <c r="A12" s="30"/>
      <c r="B12" s="30"/>
      <c r="C12" s="30"/>
      <c r="D12" s="30"/>
      <c r="E12" s="30"/>
      <c r="F12" s="30"/>
      <c r="G12" s="30"/>
      <c r="H12" s="30"/>
      <c r="I12" s="30"/>
      <c r="J12" s="30"/>
      <c r="K12" s="14"/>
      <c r="L12" s="14"/>
      <c r="M12" s="14"/>
    </row>
    <row r="13" spans="1:19" ht="15.75" customHeight="1" x14ac:dyDescent="0.2">
      <c r="A13" s="30"/>
      <c r="B13" s="30"/>
      <c r="C13" s="30"/>
      <c r="D13" s="30"/>
      <c r="E13" s="30"/>
      <c r="F13" s="30"/>
      <c r="G13" s="30"/>
      <c r="H13" s="30"/>
      <c r="I13" s="30"/>
      <c r="J13" s="30"/>
      <c r="K13" s="14"/>
      <c r="L13" s="14"/>
      <c r="M13" s="14"/>
    </row>
    <row r="14" spans="1:19" ht="15.75" customHeight="1" x14ac:dyDescent="0.2">
      <c r="A14" s="30"/>
      <c r="B14" s="30"/>
      <c r="C14" s="30"/>
      <c r="D14" s="30"/>
      <c r="E14" s="30"/>
      <c r="F14" s="30"/>
      <c r="G14" s="30"/>
      <c r="H14" s="30"/>
      <c r="I14" s="30"/>
      <c r="J14" s="30"/>
      <c r="K14" s="14"/>
      <c r="L14" s="14"/>
      <c r="M14" s="14"/>
    </row>
    <row r="15" spans="1:19" ht="15.75" customHeight="1" x14ac:dyDescent="0.2">
      <c r="A15" s="30"/>
      <c r="B15" s="30"/>
      <c r="C15" s="30"/>
      <c r="D15" s="30"/>
      <c r="E15" s="30"/>
      <c r="F15" s="30"/>
      <c r="G15" s="30"/>
      <c r="H15" s="30"/>
      <c r="I15" s="30"/>
      <c r="J15" s="30"/>
      <c r="K15" s="14"/>
      <c r="L15" s="14"/>
      <c r="M15" s="14"/>
    </row>
    <row r="16" spans="1:19" ht="15.75" customHeight="1" x14ac:dyDescent="0.2">
      <c r="A16" s="30"/>
      <c r="B16" s="30"/>
      <c r="C16" s="30"/>
      <c r="D16" s="30"/>
      <c r="E16" s="30"/>
      <c r="F16" s="30"/>
      <c r="G16" s="30"/>
      <c r="H16" s="30"/>
      <c r="I16" s="30"/>
      <c r="J16" s="30"/>
      <c r="K16" s="14"/>
      <c r="L16" s="14"/>
      <c r="M16" s="14"/>
    </row>
    <row r="17" spans="1:21" ht="15.75" customHeight="1" x14ac:dyDescent="0.2">
      <c r="A17" s="30"/>
      <c r="B17" s="30"/>
      <c r="C17" s="30"/>
      <c r="D17" s="30"/>
      <c r="E17" s="30"/>
      <c r="F17" s="30"/>
      <c r="G17" s="30"/>
      <c r="H17" s="30"/>
      <c r="I17" s="30"/>
      <c r="J17" s="30"/>
      <c r="K17" s="14"/>
      <c r="L17" s="14"/>
      <c r="M17" s="14"/>
    </row>
    <row r="18" spans="1:21" ht="15.75" customHeight="1" x14ac:dyDescent="0.2">
      <c r="A18" s="30"/>
      <c r="B18" s="30"/>
      <c r="C18" s="30"/>
      <c r="D18" s="30"/>
      <c r="E18" s="30"/>
      <c r="F18" s="30"/>
      <c r="G18" s="30"/>
      <c r="H18" s="30"/>
      <c r="I18" s="30"/>
      <c r="J18" s="30"/>
      <c r="K18" s="14"/>
      <c r="L18" s="14"/>
      <c r="M18" s="14"/>
    </row>
    <row r="19" spans="1:21" ht="15" customHeight="1" x14ac:dyDescent="0.2">
      <c r="A19" s="30"/>
      <c r="B19" s="30"/>
      <c r="C19" s="30"/>
      <c r="D19" s="30"/>
      <c r="E19" s="30"/>
      <c r="F19" s="30"/>
      <c r="G19" s="30"/>
      <c r="H19" s="30"/>
      <c r="I19" s="30"/>
      <c r="J19" s="30"/>
      <c r="K19" s="14"/>
      <c r="L19" s="14"/>
      <c r="M19" s="14"/>
    </row>
    <row r="20" spans="1:21" ht="15.75" customHeight="1" x14ac:dyDescent="0.2">
      <c r="A20" s="30"/>
      <c r="B20" s="30"/>
      <c r="C20" s="30"/>
      <c r="D20" s="30"/>
      <c r="E20" s="30"/>
      <c r="F20" s="30"/>
      <c r="G20" s="30"/>
      <c r="H20" s="30"/>
      <c r="I20" s="30"/>
      <c r="J20" s="30"/>
      <c r="K20" s="14"/>
      <c r="L20" s="14"/>
      <c r="M20" s="14"/>
    </row>
    <row r="21" spans="1:21" ht="15.75" customHeight="1" x14ac:dyDescent="0.2">
      <c r="A21" s="30"/>
      <c r="B21" s="30"/>
      <c r="C21" s="30"/>
      <c r="D21" s="30"/>
      <c r="E21" s="30"/>
      <c r="F21" s="30"/>
      <c r="G21" s="30"/>
      <c r="H21" s="30"/>
      <c r="I21" s="30"/>
      <c r="J21" s="30"/>
      <c r="K21" s="14"/>
      <c r="L21" s="14"/>
      <c r="M21" s="14"/>
    </row>
    <row r="22" spans="1:21" ht="15.75" customHeight="1" x14ac:dyDescent="0.2">
      <c r="A22" s="30"/>
      <c r="B22" s="30"/>
      <c r="C22" s="30"/>
      <c r="D22" s="30"/>
      <c r="E22" s="30"/>
      <c r="F22" s="30"/>
      <c r="G22" s="30"/>
      <c r="H22" s="30"/>
      <c r="I22" s="30"/>
      <c r="J22" s="30"/>
      <c r="K22" s="14"/>
      <c r="L22" s="14"/>
      <c r="M22" s="14"/>
    </row>
    <row r="23" spans="1:21" ht="15.75" customHeight="1" x14ac:dyDescent="0.2">
      <c r="A23" s="30"/>
      <c r="B23" s="30"/>
      <c r="C23" s="30"/>
      <c r="D23" s="30"/>
      <c r="E23" s="30"/>
      <c r="F23" s="30"/>
      <c r="G23" s="30"/>
      <c r="H23" s="30"/>
      <c r="I23" s="30"/>
      <c r="J23" s="30"/>
      <c r="K23" s="14"/>
      <c r="L23" s="14"/>
      <c r="M23" s="14"/>
    </row>
    <row r="24" spans="1:21" ht="15.75" customHeight="1" x14ac:dyDescent="0.2">
      <c r="A24" s="30"/>
      <c r="B24" s="30"/>
      <c r="C24" s="30"/>
      <c r="D24" s="30"/>
      <c r="E24" s="30"/>
      <c r="F24" s="30"/>
      <c r="G24" s="30"/>
      <c r="H24" s="30"/>
      <c r="I24" s="30"/>
      <c r="J24" s="30"/>
      <c r="K24" s="14"/>
      <c r="L24" s="14"/>
      <c r="M24" s="14"/>
    </row>
    <row r="25" spans="1:21" ht="15.75" customHeight="1" x14ac:dyDescent="0.2">
      <c r="A25" s="30"/>
      <c r="B25" s="30"/>
      <c r="C25" s="30"/>
      <c r="D25" s="30"/>
      <c r="E25" s="30"/>
      <c r="F25" s="30"/>
      <c r="G25" s="30"/>
      <c r="H25" s="30"/>
      <c r="I25" s="30"/>
      <c r="J25" s="30"/>
      <c r="K25" s="14"/>
      <c r="L25" s="14"/>
      <c r="M25" s="14"/>
    </row>
    <row r="26" spans="1:21" ht="15.75" customHeight="1" x14ac:dyDescent="0.2">
      <c r="A26" s="30"/>
      <c r="B26" s="30"/>
      <c r="C26" s="30"/>
      <c r="D26" s="30"/>
      <c r="E26" s="30"/>
      <c r="F26" s="30"/>
      <c r="G26" s="30"/>
      <c r="H26" s="30"/>
      <c r="I26" s="30"/>
      <c r="J26" s="30"/>
      <c r="K26" s="14"/>
      <c r="L26" s="14"/>
      <c r="M26" s="14"/>
    </row>
    <row r="27" spans="1:21" ht="11" customHeight="1" x14ac:dyDescent="0.2">
      <c r="A27" s="30"/>
      <c r="B27" s="30"/>
      <c r="C27" s="30"/>
      <c r="D27" s="30"/>
      <c r="E27" s="30"/>
      <c r="F27" s="30"/>
      <c r="G27" s="30"/>
      <c r="H27" s="30"/>
      <c r="I27" s="30"/>
      <c r="J27" s="30"/>
      <c r="K27" s="14"/>
      <c r="L27" s="14"/>
      <c r="M27" s="14"/>
    </row>
    <row r="28" spans="1:21" ht="15.75" customHeight="1" x14ac:dyDescent="0.2">
      <c r="A28" s="28"/>
      <c r="B28" s="28"/>
      <c r="C28" s="28"/>
      <c r="D28" s="28"/>
      <c r="E28" s="28"/>
      <c r="F28" s="28"/>
      <c r="G28" s="28"/>
      <c r="H28" s="28"/>
      <c r="I28" s="58"/>
      <c r="J28" s="58"/>
      <c r="K28" s="58"/>
      <c r="L28" s="58"/>
      <c r="M28" s="14"/>
    </row>
    <row r="29" spans="1:21" ht="15.75" customHeight="1" x14ac:dyDescent="0.2">
      <c r="A29" s="28"/>
      <c r="B29" s="28"/>
      <c r="C29" s="28"/>
      <c r="D29" s="28"/>
      <c r="E29" s="28"/>
      <c r="F29" s="28"/>
      <c r="G29" s="28"/>
      <c r="H29" s="28"/>
      <c r="I29" s="25"/>
      <c r="J29" s="25"/>
      <c r="K29" s="25"/>
      <c r="L29" s="25"/>
      <c r="M29" s="14"/>
    </row>
    <row r="30" spans="1:21" x14ac:dyDescent="0.2">
      <c r="A30" s="48"/>
      <c r="B30" s="20"/>
      <c r="C30" s="20"/>
      <c r="D30" s="20"/>
      <c r="E30" s="20"/>
      <c r="F30" s="20"/>
      <c r="G30" s="48"/>
      <c r="H30" s="20"/>
      <c r="I30" s="20"/>
      <c r="J30" s="20"/>
      <c r="S30" s="16"/>
      <c r="U30" s="18"/>
    </row>
    <row r="31" spans="1:21" x14ac:dyDescent="0.2">
      <c r="A31" s="48"/>
      <c r="B31" s="20"/>
      <c r="C31" s="20"/>
      <c r="D31" s="20"/>
      <c r="E31" s="20"/>
      <c r="F31" s="20"/>
      <c r="G31" s="48"/>
      <c r="H31" s="20"/>
      <c r="I31" s="20"/>
      <c r="J31" s="20"/>
      <c r="S31" s="16"/>
      <c r="U31" s="18"/>
    </row>
    <row r="32" spans="1:21" x14ac:dyDescent="0.2">
      <c r="A32" s="48"/>
      <c r="B32" s="20"/>
      <c r="C32" s="20"/>
      <c r="D32" s="20"/>
      <c r="E32" s="20"/>
      <c r="F32" s="20"/>
      <c r="G32" s="48"/>
      <c r="H32" s="20"/>
      <c r="I32" s="20"/>
      <c r="J32" s="20"/>
      <c r="N32" s="1"/>
      <c r="S32" s="16"/>
      <c r="U32" s="18"/>
    </row>
    <row r="33" spans="1:21" x14ac:dyDescent="0.2">
      <c r="A33" s="48"/>
      <c r="B33" s="20"/>
      <c r="C33" s="20"/>
      <c r="D33" s="20"/>
      <c r="E33" s="20"/>
      <c r="F33" s="20"/>
      <c r="G33" s="48"/>
      <c r="H33" s="20"/>
      <c r="I33" s="20"/>
      <c r="J33" s="20"/>
      <c r="S33" s="16"/>
      <c r="U33" s="18"/>
    </row>
    <row r="34" spans="1:21" x14ac:dyDescent="0.2">
      <c r="A34" s="48"/>
      <c r="B34" s="20"/>
      <c r="C34" s="20"/>
      <c r="D34" s="20"/>
      <c r="E34" s="20"/>
      <c r="F34" s="20"/>
      <c r="G34" s="48"/>
      <c r="H34" s="20"/>
      <c r="I34" s="20"/>
      <c r="J34" s="20"/>
      <c r="S34" s="16"/>
      <c r="U34" s="18"/>
    </row>
    <row r="35" spans="1:21" x14ac:dyDescent="0.2">
      <c r="A35" s="48"/>
      <c r="B35" s="20"/>
      <c r="C35" s="20"/>
      <c r="D35" s="20"/>
      <c r="E35" s="20"/>
      <c r="F35" s="20"/>
      <c r="G35" s="48"/>
      <c r="H35" s="20"/>
      <c r="I35" s="20"/>
      <c r="J35" s="20"/>
      <c r="S35" s="16"/>
      <c r="U35" s="18"/>
    </row>
    <row r="36" spans="1:21" x14ac:dyDescent="0.2">
      <c r="A36" s="48"/>
      <c r="B36" s="20"/>
      <c r="C36" s="20"/>
      <c r="D36" s="20"/>
      <c r="E36" s="20"/>
      <c r="F36" s="20"/>
      <c r="G36" s="48"/>
      <c r="H36" s="20"/>
      <c r="I36" s="20"/>
      <c r="J36" s="20"/>
      <c r="S36" s="16"/>
      <c r="U36" s="18"/>
    </row>
    <row r="37" spans="1:21" x14ac:dyDescent="0.2">
      <c r="A37" s="48"/>
      <c r="B37" s="20"/>
      <c r="C37" s="20"/>
      <c r="D37" s="20"/>
      <c r="E37" s="20"/>
      <c r="F37" s="20"/>
      <c r="G37" s="48"/>
      <c r="H37" s="20"/>
      <c r="I37" s="20"/>
      <c r="J37" s="20"/>
      <c r="S37" s="16"/>
      <c r="U37" s="18"/>
    </row>
    <row r="38" spans="1:21" x14ac:dyDescent="0.2">
      <c r="A38" s="48"/>
      <c r="B38" s="20"/>
      <c r="C38" s="20"/>
      <c r="D38" s="20"/>
      <c r="E38" s="20"/>
      <c r="F38" s="20"/>
      <c r="G38" s="48"/>
      <c r="H38" s="20"/>
      <c r="I38" s="20"/>
      <c r="J38" s="20"/>
      <c r="S38" s="16"/>
      <c r="U38" s="18"/>
    </row>
    <row r="39" spans="1:21" x14ac:dyDescent="0.2">
      <c r="A39" s="48"/>
      <c r="B39" s="20"/>
      <c r="C39" s="20"/>
      <c r="D39" s="20"/>
      <c r="E39" s="20"/>
      <c r="F39" s="20"/>
      <c r="G39" s="48"/>
      <c r="H39" s="20"/>
      <c r="I39" s="20"/>
      <c r="J39" s="20"/>
      <c r="S39" s="16"/>
      <c r="U39" s="18"/>
    </row>
    <row r="40" spans="1:21" x14ac:dyDescent="0.2">
      <c r="A40" s="48"/>
      <c r="B40" s="20"/>
      <c r="C40" s="20"/>
      <c r="D40" s="20"/>
      <c r="E40" s="20"/>
      <c r="F40" s="20"/>
      <c r="G40" s="48"/>
      <c r="H40" s="20"/>
      <c r="I40" s="20"/>
      <c r="J40" s="20"/>
      <c r="S40" s="16"/>
      <c r="U40" s="18"/>
    </row>
    <row r="41" spans="1:21" x14ac:dyDescent="0.2">
      <c r="A41" s="48"/>
      <c r="B41" s="20"/>
      <c r="C41" s="20"/>
      <c r="D41" s="20"/>
      <c r="E41" s="20"/>
      <c r="F41" s="20"/>
      <c r="G41" s="48"/>
      <c r="H41" s="20"/>
      <c r="I41" s="20"/>
      <c r="J41" s="20"/>
      <c r="S41" s="16"/>
      <c r="U41" s="18"/>
    </row>
    <row r="42" spans="1:21" x14ac:dyDescent="0.2">
      <c r="A42" s="48"/>
      <c r="B42" s="20"/>
      <c r="C42" s="20"/>
      <c r="D42" s="20"/>
      <c r="E42" s="20"/>
      <c r="F42" s="20"/>
      <c r="G42" s="48"/>
      <c r="H42" s="20"/>
      <c r="I42" s="20"/>
      <c r="J42" s="20"/>
      <c r="S42" s="16"/>
      <c r="U42" s="18"/>
    </row>
    <row r="43" spans="1:21" x14ac:dyDescent="0.2">
      <c r="A43" s="48"/>
      <c r="B43" s="20"/>
      <c r="C43" s="20"/>
      <c r="D43" s="20"/>
      <c r="E43" s="20"/>
      <c r="F43" s="20"/>
      <c r="G43" s="48"/>
      <c r="H43" s="20"/>
      <c r="I43" s="20"/>
      <c r="J43" s="20"/>
      <c r="S43" s="16"/>
      <c r="U43" s="18"/>
    </row>
    <row r="44" spans="1:21" x14ac:dyDescent="0.2">
      <c r="A44" s="48"/>
      <c r="B44" s="20"/>
      <c r="C44" s="20"/>
      <c r="D44" s="20"/>
      <c r="E44" s="20"/>
      <c r="F44" s="20"/>
      <c r="G44" s="48"/>
      <c r="H44" s="20"/>
      <c r="I44" s="20"/>
      <c r="J44" s="20"/>
      <c r="S44" s="16"/>
      <c r="U44" s="18"/>
    </row>
    <row r="45" spans="1:21" x14ac:dyDescent="0.2">
      <c r="A45" s="48"/>
      <c r="B45" s="20"/>
      <c r="C45" s="20"/>
      <c r="D45" s="20"/>
      <c r="E45" s="20"/>
      <c r="F45" s="20"/>
      <c r="G45" s="48"/>
      <c r="H45" s="20"/>
      <c r="I45" s="20"/>
      <c r="J45" s="20"/>
      <c r="S45" s="16"/>
      <c r="U45" s="18"/>
    </row>
    <row r="46" spans="1:21" x14ac:dyDescent="0.2">
      <c r="A46" s="48"/>
      <c r="B46" s="20"/>
      <c r="C46" s="20"/>
      <c r="D46" s="20"/>
      <c r="E46" s="20"/>
      <c r="F46" s="20"/>
      <c r="G46" s="48"/>
      <c r="H46" s="20"/>
      <c r="I46" s="20"/>
      <c r="J46" s="20"/>
      <c r="S46" s="16"/>
      <c r="U46" s="18"/>
    </row>
    <row r="47" spans="1:21" x14ac:dyDescent="0.2">
      <c r="A47" s="20"/>
      <c r="B47" s="37"/>
      <c r="C47" s="37"/>
      <c r="D47" s="37"/>
      <c r="E47" s="37"/>
      <c r="F47" s="37"/>
      <c r="G47" s="48"/>
      <c r="H47" s="20"/>
      <c r="I47" s="20"/>
      <c r="J47" s="20"/>
      <c r="S47" s="16"/>
      <c r="U47" s="18"/>
    </row>
    <row r="48" spans="1:21" x14ac:dyDescent="0.2">
      <c r="A48" s="48"/>
      <c r="B48" s="37"/>
      <c r="C48" s="37"/>
      <c r="D48" s="37"/>
      <c r="E48" s="37"/>
      <c r="F48" s="37"/>
      <c r="G48" s="48"/>
      <c r="H48" s="20"/>
      <c r="I48" s="20"/>
      <c r="J48" s="20"/>
      <c r="S48" s="16"/>
      <c r="U48" s="18"/>
    </row>
    <row r="49" spans="1:21" x14ac:dyDescent="0.2">
      <c r="A49" s="48"/>
      <c r="B49" s="37"/>
      <c r="C49" s="37"/>
      <c r="D49" s="37"/>
      <c r="E49" s="37"/>
      <c r="F49" s="37"/>
      <c r="G49" s="48"/>
      <c r="H49" s="20"/>
      <c r="I49" s="20"/>
      <c r="J49" s="20"/>
      <c r="S49" s="16"/>
      <c r="U49" s="18"/>
    </row>
    <row r="50" spans="1:21" x14ac:dyDescent="0.2">
      <c r="A50" s="48"/>
      <c r="B50" s="37"/>
      <c r="C50" s="37"/>
      <c r="D50" s="37"/>
      <c r="E50" s="37"/>
      <c r="F50" s="37"/>
      <c r="G50" s="48"/>
      <c r="H50" s="20"/>
      <c r="I50" s="20"/>
      <c r="J50" s="20"/>
      <c r="K50" s="20"/>
      <c r="S50" s="16"/>
      <c r="U50" s="18"/>
    </row>
    <row r="51" spans="1:21" x14ac:dyDescent="0.2">
      <c r="A51" s="48"/>
      <c r="B51" s="37"/>
      <c r="C51" s="37"/>
      <c r="D51" s="37"/>
      <c r="E51" s="37"/>
      <c r="F51" s="37"/>
      <c r="G51" s="48"/>
      <c r="H51" s="20"/>
      <c r="I51" s="20"/>
      <c r="J51" s="20"/>
      <c r="S51" s="16"/>
      <c r="U51" s="18"/>
    </row>
    <row r="52" spans="1:21" x14ac:dyDescent="0.2">
      <c r="A52" s="48"/>
      <c r="B52" s="37"/>
      <c r="C52" s="37"/>
      <c r="D52" s="37"/>
      <c r="E52" s="37"/>
      <c r="F52" s="37"/>
      <c r="G52" s="48"/>
      <c r="H52" s="20"/>
      <c r="I52" s="20"/>
      <c r="J52" s="20"/>
      <c r="K52" s="20"/>
      <c r="S52" s="16"/>
      <c r="U52" s="18"/>
    </row>
    <row r="53" spans="1:21" x14ac:dyDescent="0.2">
      <c r="A53" s="48"/>
      <c r="B53" s="37"/>
      <c r="C53" s="37"/>
      <c r="D53" s="37"/>
      <c r="E53" s="37"/>
      <c r="F53" s="37"/>
      <c r="G53" s="48"/>
      <c r="H53" s="20"/>
      <c r="I53" s="20"/>
      <c r="J53" s="20"/>
      <c r="S53" s="16"/>
      <c r="U53" s="18"/>
    </row>
    <row r="54" spans="1:21" x14ac:dyDescent="0.2">
      <c r="A54" s="48"/>
      <c r="B54" s="37"/>
      <c r="C54" s="37"/>
      <c r="D54" s="37"/>
      <c r="E54" s="37"/>
      <c r="F54" s="37"/>
      <c r="G54" s="48"/>
      <c r="H54" s="20"/>
      <c r="I54" s="20"/>
      <c r="J54" s="20"/>
      <c r="S54" s="16"/>
      <c r="U54" s="18"/>
    </row>
    <row r="55" spans="1:21" x14ac:dyDescent="0.2">
      <c r="A55" s="48"/>
      <c r="B55" s="37"/>
      <c r="C55" s="37"/>
      <c r="D55" s="37"/>
      <c r="E55" s="37"/>
      <c r="F55" s="37"/>
      <c r="G55" s="48"/>
      <c r="H55" s="20"/>
      <c r="I55" s="20"/>
      <c r="J55" s="20"/>
      <c r="S55" s="16"/>
      <c r="U55" s="18"/>
    </row>
    <row r="56" spans="1:21" x14ac:dyDescent="0.2">
      <c r="A56" s="48"/>
      <c r="B56" s="37"/>
      <c r="C56" s="37"/>
      <c r="D56" s="37"/>
      <c r="E56" s="37"/>
      <c r="F56" s="37"/>
      <c r="G56" s="48"/>
      <c r="H56" s="20"/>
      <c r="I56" s="20"/>
      <c r="J56" s="20"/>
      <c r="S56" s="16"/>
      <c r="U56" s="18"/>
    </row>
    <row r="57" spans="1:21" x14ac:dyDescent="0.2">
      <c r="A57" s="48"/>
      <c r="B57" s="37"/>
      <c r="C57" s="37"/>
      <c r="D57" s="37"/>
      <c r="E57" s="37"/>
      <c r="F57" s="37"/>
      <c r="G57" s="48"/>
      <c r="H57" s="20"/>
      <c r="I57" s="20"/>
      <c r="J57" s="20"/>
      <c r="S57" s="16"/>
    </row>
    <row r="58" spans="1:21" x14ac:dyDescent="0.2">
      <c r="A58" s="48"/>
      <c r="B58" s="37"/>
      <c r="C58" s="37"/>
      <c r="D58" s="37"/>
      <c r="E58" s="37"/>
      <c r="F58" s="37"/>
      <c r="G58" s="48"/>
      <c r="H58" s="20"/>
      <c r="I58" s="20"/>
      <c r="J58" s="20"/>
      <c r="O58" s="31"/>
      <c r="P58" s="31"/>
      <c r="Q58" s="31"/>
      <c r="R58" s="31"/>
      <c r="S58" s="16"/>
    </row>
    <row r="59" spans="1:21" x14ac:dyDescent="0.2">
      <c r="A59" s="48"/>
      <c r="B59" s="37"/>
      <c r="C59" s="37"/>
      <c r="D59" s="37"/>
      <c r="E59" s="37"/>
      <c r="F59" s="37"/>
      <c r="G59" s="48"/>
      <c r="H59" s="20"/>
      <c r="I59" s="20"/>
      <c r="J59" s="20"/>
      <c r="S59" s="16"/>
    </row>
    <row r="60" spans="1:21" x14ac:dyDescent="0.2">
      <c r="A60" s="48"/>
      <c r="B60" s="37"/>
      <c r="C60" s="37"/>
      <c r="D60" s="37"/>
      <c r="E60" s="37"/>
      <c r="F60" s="37"/>
      <c r="G60" s="48"/>
      <c r="H60" s="20"/>
      <c r="I60" s="20"/>
      <c r="J60" s="20"/>
      <c r="S60" s="16"/>
    </row>
    <row r="61" spans="1:21" x14ac:dyDescent="0.2">
      <c r="A61" s="48"/>
      <c r="B61" s="17"/>
      <c r="C61" s="17"/>
      <c r="D61" s="17"/>
      <c r="E61" s="17"/>
      <c r="F61" s="17"/>
      <c r="G61" s="48"/>
      <c r="H61" s="20"/>
      <c r="I61" s="20"/>
      <c r="J61" s="20"/>
      <c r="S61" s="16"/>
    </row>
    <row r="62" spans="1:21" x14ac:dyDescent="0.2">
      <c r="A62" s="48"/>
      <c r="G62" s="48"/>
      <c r="H62" s="20"/>
      <c r="I62" s="20"/>
      <c r="J62" s="20"/>
      <c r="K62" s="20"/>
      <c r="L62" s="20"/>
      <c r="M62" s="31"/>
      <c r="N62" s="31"/>
      <c r="O62" s="31"/>
    </row>
    <row r="63" spans="1:21" ht="16" customHeight="1" x14ac:dyDescent="0.2">
      <c r="A63" s="48"/>
      <c r="G63" s="48"/>
      <c r="H63" s="20"/>
      <c r="I63" s="20"/>
      <c r="J63" s="20"/>
      <c r="K63" s="20"/>
      <c r="L63" s="20"/>
    </row>
    <row r="64" spans="1:21" x14ac:dyDescent="0.2">
      <c r="A64" s="48"/>
      <c r="G64" s="48"/>
      <c r="H64" s="20"/>
      <c r="I64" s="20"/>
      <c r="J64" s="20"/>
    </row>
    <row r="65" spans="1:12" x14ac:dyDescent="0.2">
      <c r="A65" s="48"/>
      <c r="G65" s="48"/>
      <c r="H65" s="20"/>
      <c r="I65" s="20"/>
      <c r="J65" s="20"/>
    </row>
    <row r="66" spans="1:12" x14ac:dyDescent="0.2">
      <c r="A66" s="48"/>
      <c r="G66" s="48"/>
      <c r="H66" s="20"/>
      <c r="I66" s="20"/>
      <c r="J66" s="20"/>
    </row>
    <row r="67" spans="1:12" x14ac:dyDescent="0.2">
      <c r="A67" s="48"/>
      <c r="G67" s="48"/>
      <c r="H67" s="20"/>
      <c r="I67" s="20"/>
      <c r="J67" s="20"/>
    </row>
    <row r="68" spans="1:12" x14ac:dyDescent="0.2">
      <c r="A68" s="48"/>
      <c r="G68" s="48"/>
      <c r="H68" s="20"/>
      <c r="I68" s="20"/>
      <c r="J68" s="20"/>
      <c r="K68" s="20"/>
      <c r="L68" s="20"/>
    </row>
    <row r="69" spans="1:12" x14ac:dyDescent="0.2">
      <c r="A69" s="48"/>
      <c r="G69" s="48"/>
      <c r="H69" s="20"/>
      <c r="I69" s="20"/>
      <c r="J69" s="20"/>
    </row>
    <row r="70" spans="1:12" x14ac:dyDescent="0.2">
      <c r="A70" s="48"/>
      <c r="G70" s="48"/>
      <c r="H70" s="20"/>
      <c r="I70" s="20"/>
      <c r="J70" s="20"/>
    </row>
    <row r="71" spans="1:12" x14ac:dyDescent="0.2">
      <c r="A71" s="48"/>
      <c r="G71" s="48"/>
      <c r="H71" s="20"/>
      <c r="I71" s="20"/>
      <c r="J71" s="20"/>
    </row>
    <row r="72" spans="1:12" x14ac:dyDescent="0.2">
      <c r="A72" s="48"/>
      <c r="G72" s="48"/>
      <c r="H72" s="20"/>
      <c r="I72" s="20"/>
      <c r="J72" s="20"/>
    </row>
    <row r="73" spans="1:12" x14ac:dyDescent="0.2">
      <c r="A73" s="48"/>
      <c r="G73" s="48"/>
      <c r="H73" s="20"/>
      <c r="I73" s="20"/>
      <c r="J73" s="20"/>
    </row>
    <row r="74" spans="1:12" x14ac:dyDescent="0.2">
      <c r="A74" s="48"/>
      <c r="G74" s="48"/>
      <c r="H74" s="20"/>
      <c r="I74" s="20"/>
      <c r="J74" s="20"/>
    </row>
    <row r="75" spans="1:12" x14ac:dyDescent="0.2">
      <c r="A75" s="48"/>
      <c r="G75" s="48"/>
    </row>
    <row r="76" spans="1:12" x14ac:dyDescent="0.2">
      <c r="A76" s="48"/>
      <c r="G76" s="48"/>
    </row>
    <row r="77" spans="1:12" x14ac:dyDescent="0.2">
      <c r="A77" s="48"/>
      <c r="G77" s="48"/>
    </row>
    <row r="78" spans="1:12" x14ac:dyDescent="0.2">
      <c r="A78" s="48"/>
      <c r="G78" s="48"/>
    </row>
    <row r="79" spans="1:12" x14ac:dyDescent="0.2">
      <c r="A79" s="48"/>
      <c r="G79" s="48"/>
    </row>
    <row r="80" spans="1:12" x14ac:dyDescent="0.2">
      <c r="A80" s="48"/>
      <c r="G80" s="48"/>
    </row>
    <row r="81" spans="1:7" x14ac:dyDescent="0.2">
      <c r="A81" s="48"/>
      <c r="G81" s="48"/>
    </row>
    <row r="82" spans="1:7" x14ac:dyDescent="0.2">
      <c r="A82" s="48"/>
      <c r="G82" s="48"/>
    </row>
    <row r="83" spans="1:7" x14ac:dyDescent="0.2">
      <c r="A83" s="48"/>
      <c r="G83" s="48"/>
    </row>
    <row r="84" spans="1:7" x14ac:dyDescent="0.2">
      <c r="A84" s="48"/>
      <c r="G84" s="48"/>
    </row>
    <row r="85" spans="1:7" x14ac:dyDescent="0.2">
      <c r="A85" s="48"/>
      <c r="G85" s="48"/>
    </row>
    <row r="86" spans="1:7" x14ac:dyDescent="0.2">
      <c r="A86" s="48"/>
      <c r="G86" s="48"/>
    </row>
    <row r="87" spans="1:7" x14ac:dyDescent="0.2">
      <c r="A87" s="48"/>
      <c r="G87" s="48"/>
    </row>
    <row r="88" spans="1:7" x14ac:dyDescent="0.2">
      <c r="A88" s="48"/>
      <c r="G88" s="20"/>
    </row>
    <row r="89" spans="1:7" x14ac:dyDescent="0.2">
      <c r="A89" s="48"/>
      <c r="G89" s="20"/>
    </row>
    <row r="90" spans="1:7" x14ac:dyDescent="0.2">
      <c r="A90" s="48"/>
      <c r="G90" s="20"/>
    </row>
    <row r="91" spans="1:7" x14ac:dyDescent="0.2">
      <c r="A91" s="48"/>
      <c r="G91" s="20"/>
    </row>
    <row r="92" spans="1:7" x14ac:dyDescent="0.2">
      <c r="A92" s="48"/>
      <c r="G92" s="20"/>
    </row>
    <row r="93" spans="1:7" x14ac:dyDescent="0.2">
      <c r="A93" s="48"/>
      <c r="G93" s="20"/>
    </row>
    <row r="94" spans="1:7" x14ac:dyDescent="0.2">
      <c r="A94" s="48"/>
    </row>
    <row r="95" spans="1:7" x14ac:dyDescent="0.2">
      <c r="A95" s="48"/>
    </row>
    <row r="96" spans="1:7" x14ac:dyDescent="0.2">
      <c r="A96" s="48"/>
    </row>
    <row r="97" spans="1:1" x14ac:dyDescent="0.2">
      <c r="A97" s="48"/>
    </row>
    <row r="98" spans="1:1" x14ac:dyDescent="0.2">
      <c r="A98" s="48"/>
    </row>
    <row r="99" spans="1:1" x14ac:dyDescent="0.2">
      <c r="A99" s="48"/>
    </row>
    <row r="100" spans="1:1" x14ac:dyDescent="0.2">
      <c r="A100" s="48"/>
    </row>
    <row r="101" spans="1:1" x14ac:dyDescent="0.2">
      <c r="A101" s="48"/>
    </row>
    <row r="102" spans="1:1" x14ac:dyDescent="0.2">
      <c r="A102" s="48"/>
    </row>
    <row r="103" spans="1:1" x14ac:dyDescent="0.2">
      <c r="A103" s="48"/>
    </row>
    <row r="104" spans="1:1" x14ac:dyDescent="0.2">
      <c r="A104" s="48"/>
    </row>
    <row r="105" spans="1:1" x14ac:dyDescent="0.2">
      <c r="A105" s="48"/>
    </row>
    <row r="106" spans="1:1" x14ac:dyDescent="0.2">
      <c r="A106" s="48"/>
    </row>
    <row r="107" spans="1:1" x14ac:dyDescent="0.2">
      <c r="A107" s="48"/>
    </row>
    <row r="108" spans="1:1" x14ac:dyDescent="0.2">
      <c r="A108" s="48"/>
    </row>
    <row r="109" spans="1:1" x14ac:dyDescent="0.2">
      <c r="A109" s="48"/>
    </row>
    <row r="110" spans="1:1" x14ac:dyDescent="0.2">
      <c r="A110" s="48"/>
    </row>
    <row r="111" spans="1:1" x14ac:dyDescent="0.2">
      <c r="A111" s="48"/>
    </row>
    <row r="112" spans="1:1" x14ac:dyDescent="0.2">
      <c r="A112" s="48"/>
    </row>
    <row r="113" spans="1:1" x14ac:dyDescent="0.2">
      <c r="A113" s="48"/>
    </row>
    <row r="114" spans="1:1" x14ac:dyDescent="0.2">
      <c r="A114" s="48"/>
    </row>
    <row r="115" spans="1:1" x14ac:dyDescent="0.2">
      <c r="A115" s="48"/>
    </row>
    <row r="116" spans="1:1" x14ac:dyDescent="0.2">
      <c r="A116" s="48"/>
    </row>
    <row r="117" spans="1:1" x14ac:dyDescent="0.2">
      <c r="A117" s="48"/>
    </row>
    <row r="118" spans="1:1" x14ac:dyDescent="0.2">
      <c r="A118" s="48"/>
    </row>
    <row r="119" spans="1:1" x14ac:dyDescent="0.2">
      <c r="A119" s="48"/>
    </row>
    <row r="120" spans="1:1" x14ac:dyDescent="0.2">
      <c r="A120" s="48"/>
    </row>
    <row r="121" spans="1:1" x14ac:dyDescent="0.2">
      <c r="A121" s="48"/>
    </row>
    <row r="122" spans="1:1" x14ac:dyDescent="0.2">
      <c r="A122" s="48"/>
    </row>
    <row r="123" spans="1:1" x14ac:dyDescent="0.2">
      <c r="A123" s="48"/>
    </row>
    <row r="124" spans="1:1" x14ac:dyDescent="0.2">
      <c r="A124" s="48"/>
    </row>
    <row r="125" spans="1:1" x14ac:dyDescent="0.2">
      <c r="A125" s="48"/>
    </row>
    <row r="126" spans="1:1" x14ac:dyDescent="0.2">
      <c r="A126" s="48"/>
    </row>
    <row r="127" spans="1:1" x14ac:dyDescent="0.2">
      <c r="A127" s="48"/>
    </row>
    <row r="128" spans="1:1" x14ac:dyDescent="0.2">
      <c r="A128" s="48"/>
    </row>
    <row r="129" spans="1:1" x14ac:dyDescent="0.2">
      <c r="A129" s="48"/>
    </row>
    <row r="130" spans="1:1" x14ac:dyDescent="0.2">
      <c r="A130" s="48"/>
    </row>
    <row r="131" spans="1:1" x14ac:dyDescent="0.2">
      <c r="A131" s="48"/>
    </row>
    <row r="132" spans="1:1" x14ac:dyDescent="0.2">
      <c r="A132" s="48"/>
    </row>
    <row r="133" spans="1:1" x14ac:dyDescent="0.2">
      <c r="A133" s="48"/>
    </row>
    <row r="134" spans="1:1" x14ac:dyDescent="0.2">
      <c r="A134" s="48"/>
    </row>
    <row r="135" spans="1:1" x14ac:dyDescent="0.2">
      <c r="A135" s="48"/>
    </row>
    <row r="136" spans="1:1" x14ac:dyDescent="0.2">
      <c r="A136" s="48"/>
    </row>
    <row r="137" spans="1:1" x14ac:dyDescent="0.2">
      <c r="A137" s="48"/>
    </row>
    <row r="138" spans="1:1" x14ac:dyDescent="0.2">
      <c r="A138" s="48"/>
    </row>
    <row r="139" spans="1:1" x14ac:dyDescent="0.2">
      <c r="A139" s="48"/>
    </row>
    <row r="140" spans="1:1" x14ac:dyDescent="0.2">
      <c r="A140" s="48"/>
    </row>
    <row r="141" spans="1:1" x14ac:dyDescent="0.2">
      <c r="A141" s="48"/>
    </row>
    <row r="142" spans="1:1" x14ac:dyDescent="0.2">
      <c r="A142" s="48"/>
    </row>
    <row r="143" spans="1:1" x14ac:dyDescent="0.2">
      <c r="A143" s="48"/>
    </row>
    <row r="144" spans="1:1" x14ac:dyDescent="0.2">
      <c r="A144" s="48"/>
    </row>
    <row r="145" spans="1:1" x14ac:dyDescent="0.2">
      <c r="A145" s="48"/>
    </row>
    <row r="146" spans="1:1" x14ac:dyDescent="0.2">
      <c r="A146" s="20"/>
    </row>
    <row r="147" spans="1:1" x14ac:dyDescent="0.2">
      <c r="A147" s="20"/>
    </row>
    <row r="148" spans="1:1" x14ac:dyDescent="0.2">
      <c r="A148" s="20"/>
    </row>
    <row r="149" spans="1:1" x14ac:dyDescent="0.2">
      <c r="A149" s="20"/>
    </row>
    <row r="150" spans="1:1" x14ac:dyDescent="0.2">
      <c r="A150" s="20"/>
    </row>
    <row r="151" spans="1:1" x14ac:dyDescent="0.2">
      <c r="A151" s="20"/>
    </row>
    <row r="152" spans="1:1" x14ac:dyDescent="0.2">
      <c r="A152" s="20"/>
    </row>
    <row r="153" spans="1:1" x14ac:dyDescent="0.2">
      <c r="A153" s="20"/>
    </row>
    <row r="154" spans="1:1" x14ac:dyDescent="0.2">
      <c r="A154" s="20"/>
    </row>
    <row r="155" spans="1:1" x14ac:dyDescent="0.2">
      <c r="A155" s="20"/>
    </row>
    <row r="156" spans="1:1" x14ac:dyDescent="0.2">
      <c r="A156" s="20"/>
    </row>
    <row r="157" spans="1:1" x14ac:dyDescent="0.2">
      <c r="A157" s="20"/>
    </row>
    <row r="158" spans="1:1" x14ac:dyDescent="0.2">
      <c r="A158" s="20"/>
    </row>
    <row r="159" spans="1:1" x14ac:dyDescent="0.2">
      <c r="A159" s="20"/>
    </row>
    <row r="160" spans="1:1" x14ac:dyDescent="0.2">
      <c r="A160" s="20"/>
    </row>
    <row r="161" spans="1:1" x14ac:dyDescent="0.2">
      <c r="A161" s="20"/>
    </row>
    <row r="162" spans="1:1" x14ac:dyDescent="0.2">
      <c r="A162" s="20"/>
    </row>
    <row r="163" spans="1:1" x14ac:dyDescent="0.2">
      <c r="A163" s="20"/>
    </row>
    <row r="164" spans="1:1" x14ac:dyDescent="0.2">
      <c r="A164" s="20"/>
    </row>
    <row r="165" spans="1:1" x14ac:dyDescent="0.2">
      <c r="A165" s="20"/>
    </row>
    <row r="166" spans="1:1" x14ac:dyDescent="0.2">
      <c r="A166" s="20"/>
    </row>
    <row r="167" spans="1:1" x14ac:dyDescent="0.2">
      <c r="A167" s="20"/>
    </row>
    <row r="168" spans="1:1" x14ac:dyDescent="0.2">
      <c r="A168" s="20"/>
    </row>
    <row r="169" spans="1:1" x14ac:dyDescent="0.2">
      <c r="A169" s="20"/>
    </row>
    <row r="170" spans="1:1" x14ac:dyDescent="0.2">
      <c r="A170" s="20"/>
    </row>
    <row r="171" spans="1:1" x14ac:dyDescent="0.2">
      <c r="A171" s="20"/>
    </row>
    <row r="172" spans="1:1" x14ac:dyDescent="0.2">
      <c r="A172" s="20"/>
    </row>
    <row r="173" spans="1:1" x14ac:dyDescent="0.2">
      <c r="A173" s="20"/>
    </row>
    <row r="174" spans="1:1" x14ac:dyDescent="0.2">
      <c r="A174" s="20"/>
    </row>
    <row r="175" spans="1:1" x14ac:dyDescent="0.2">
      <c r="A175" s="20"/>
    </row>
    <row r="176" spans="1:1" x14ac:dyDescent="0.2">
      <c r="A176" s="20"/>
    </row>
    <row r="177" spans="1:1" x14ac:dyDescent="0.2">
      <c r="A177" s="20"/>
    </row>
    <row r="178" spans="1:1" x14ac:dyDescent="0.2">
      <c r="A178" s="20"/>
    </row>
    <row r="179" spans="1:1" x14ac:dyDescent="0.2">
      <c r="A179" s="20"/>
    </row>
    <row r="180" spans="1:1" x14ac:dyDescent="0.2">
      <c r="A180" s="20"/>
    </row>
    <row r="181" spans="1:1" x14ac:dyDescent="0.2">
      <c r="A181" s="20"/>
    </row>
    <row r="182" spans="1:1" x14ac:dyDescent="0.2">
      <c r="A182" s="20"/>
    </row>
    <row r="183" spans="1:1" x14ac:dyDescent="0.2">
      <c r="A183" s="20"/>
    </row>
    <row r="184" spans="1:1" x14ac:dyDescent="0.2">
      <c r="A184" s="20"/>
    </row>
    <row r="185" spans="1:1" x14ac:dyDescent="0.2">
      <c r="A185" s="20"/>
    </row>
    <row r="186" spans="1:1" x14ac:dyDescent="0.2">
      <c r="A186" s="20"/>
    </row>
    <row r="187" spans="1:1" x14ac:dyDescent="0.2">
      <c r="A187" s="20"/>
    </row>
    <row r="188" spans="1:1" x14ac:dyDescent="0.2">
      <c r="A188" s="20"/>
    </row>
    <row r="189" spans="1:1" x14ac:dyDescent="0.2">
      <c r="A189" s="20"/>
    </row>
    <row r="190" spans="1:1" x14ac:dyDescent="0.2">
      <c r="A190" s="20"/>
    </row>
    <row r="191" spans="1:1" x14ac:dyDescent="0.2">
      <c r="A191" s="20"/>
    </row>
    <row r="192" spans="1:1" x14ac:dyDescent="0.2">
      <c r="A192" s="20"/>
    </row>
    <row r="193" spans="1:1" x14ac:dyDescent="0.2">
      <c r="A193" s="20"/>
    </row>
    <row r="194" spans="1:1" x14ac:dyDescent="0.2">
      <c r="A194" s="20"/>
    </row>
    <row r="195" spans="1:1" x14ac:dyDescent="0.2">
      <c r="A195" s="20"/>
    </row>
    <row r="196" spans="1:1" x14ac:dyDescent="0.2">
      <c r="A196" s="20"/>
    </row>
    <row r="197" spans="1:1" x14ac:dyDescent="0.2">
      <c r="A197" s="20"/>
    </row>
    <row r="198" spans="1:1" x14ac:dyDescent="0.2">
      <c r="A198" s="20"/>
    </row>
    <row r="199" spans="1:1" x14ac:dyDescent="0.2">
      <c r="A199" s="20"/>
    </row>
    <row r="200" spans="1:1" x14ac:dyDescent="0.2">
      <c r="A200" s="20"/>
    </row>
    <row r="201" spans="1:1" x14ac:dyDescent="0.2">
      <c r="A201" s="20"/>
    </row>
    <row r="202" spans="1:1" x14ac:dyDescent="0.2">
      <c r="A202" s="20"/>
    </row>
    <row r="203" spans="1:1" x14ac:dyDescent="0.2">
      <c r="A203" s="20"/>
    </row>
    <row r="204" spans="1:1" x14ac:dyDescent="0.2">
      <c r="A204" s="20"/>
    </row>
    <row r="205" spans="1:1" x14ac:dyDescent="0.2">
      <c r="A205" s="20"/>
    </row>
    <row r="206" spans="1:1" x14ac:dyDescent="0.2">
      <c r="A206" s="20"/>
    </row>
    <row r="207" spans="1:1" x14ac:dyDescent="0.2">
      <c r="A207" s="20"/>
    </row>
    <row r="208" spans="1:1" x14ac:dyDescent="0.2">
      <c r="A208" s="20"/>
    </row>
    <row r="209" spans="1:1" x14ac:dyDescent="0.2">
      <c r="A209" s="20"/>
    </row>
    <row r="210" spans="1:1" x14ac:dyDescent="0.2">
      <c r="A210" s="20"/>
    </row>
    <row r="211" spans="1:1" x14ac:dyDescent="0.2">
      <c r="A211" s="20"/>
    </row>
    <row r="212" spans="1:1" x14ac:dyDescent="0.2">
      <c r="A212" s="20"/>
    </row>
    <row r="213" spans="1:1" x14ac:dyDescent="0.2">
      <c r="A213" s="20"/>
    </row>
    <row r="214" spans="1:1" x14ac:dyDescent="0.2">
      <c r="A214" s="20"/>
    </row>
    <row r="215" spans="1:1" x14ac:dyDescent="0.2">
      <c r="A215" s="20"/>
    </row>
    <row r="216" spans="1:1" x14ac:dyDescent="0.2">
      <c r="A216" s="20"/>
    </row>
    <row r="217" spans="1:1" x14ac:dyDescent="0.2">
      <c r="A217" s="20"/>
    </row>
    <row r="218" spans="1:1" x14ac:dyDescent="0.2">
      <c r="A218" s="20"/>
    </row>
    <row r="219" spans="1:1" x14ac:dyDescent="0.2">
      <c r="A219" s="20"/>
    </row>
    <row r="220" spans="1:1" x14ac:dyDescent="0.2">
      <c r="A220" s="20"/>
    </row>
    <row r="221" spans="1:1" x14ac:dyDescent="0.2">
      <c r="A221" s="20"/>
    </row>
    <row r="222" spans="1:1" x14ac:dyDescent="0.2">
      <c r="A222" s="20"/>
    </row>
    <row r="223" spans="1:1" x14ac:dyDescent="0.2">
      <c r="A223" s="20"/>
    </row>
    <row r="224" spans="1:1" x14ac:dyDescent="0.2">
      <c r="A224" s="20"/>
    </row>
    <row r="225" spans="1:1" x14ac:dyDescent="0.2">
      <c r="A225" s="20"/>
    </row>
    <row r="226" spans="1:1" x14ac:dyDescent="0.2">
      <c r="A226" s="20"/>
    </row>
    <row r="227" spans="1:1" x14ac:dyDescent="0.2">
      <c r="A227" s="20"/>
    </row>
    <row r="228" spans="1:1" x14ac:dyDescent="0.2">
      <c r="A228" s="20"/>
    </row>
    <row r="229" spans="1:1" x14ac:dyDescent="0.2">
      <c r="A229" s="20"/>
    </row>
    <row r="230" spans="1:1" x14ac:dyDescent="0.2">
      <c r="A230" s="20"/>
    </row>
    <row r="231" spans="1:1" x14ac:dyDescent="0.2">
      <c r="A231" s="20"/>
    </row>
    <row r="232" spans="1:1" x14ac:dyDescent="0.2">
      <c r="A232" s="20"/>
    </row>
    <row r="233" spans="1:1" x14ac:dyDescent="0.2">
      <c r="A233" s="20"/>
    </row>
    <row r="234" spans="1:1" x14ac:dyDescent="0.2">
      <c r="A234" s="20"/>
    </row>
    <row r="235" spans="1:1" x14ac:dyDescent="0.2">
      <c r="A235" s="20"/>
    </row>
    <row r="236" spans="1:1" x14ac:dyDescent="0.2">
      <c r="A236" s="20"/>
    </row>
    <row r="237" spans="1:1" x14ac:dyDescent="0.2">
      <c r="A237" s="20"/>
    </row>
    <row r="238" spans="1:1" x14ac:dyDescent="0.2">
      <c r="A238" s="20"/>
    </row>
    <row r="239" spans="1:1" x14ac:dyDescent="0.2">
      <c r="A239" s="20"/>
    </row>
    <row r="240" spans="1:1" x14ac:dyDescent="0.2">
      <c r="A240" s="20"/>
    </row>
    <row r="241" spans="1:1" x14ac:dyDescent="0.2">
      <c r="A241" s="20"/>
    </row>
    <row r="242" spans="1:1" x14ac:dyDescent="0.2">
      <c r="A242" s="20"/>
    </row>
    <row r="243" spans="1:1" x14ac:dyDescent="0.2">
      <c r="A243" s="20"/>
    </row>
    <row r="244" spans="1:1" x14ac:dyDescent="0.2">
      <c r="A244" s="20"/>
    </row>
    <row r="245" spans="1:1" x14ac:dyDescent="0.2">
      <c r="A245" s="20"/>
    </row>
    <row r="246" spans="1:1" x14ac:dyDescent="0.2">
      <c r="A246" s="20"/>
    </row>
    <row r="247" spans="1:1" x14ac:dyDescent="0.2">
      <c r="A247" s="20"/>
    </row>
  </sheetData>
  <sheetProtection formatCells="0" formatColumns="0" formatRows="0" insertColumns="0" insertRows="0"/>
  <sortState xmlns:xlrd2="http://schemas.microsoft.com/office/spreadsheetml/2017/richdata2" ref="A30:A145">
    <sortCondition ref="A30:A145"/>
  </sortState>
  <mergeCells count="5">
    <mergeCell ref="R1:S1"/>
    <mergeCell ref="G1:H1"/>
    <mergeCell ref="I1:J1"/>
    <mergeCell ref="I28:L28"/>
    <mergeCell ref="P1:Q1"/>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36033-054D-FC44-A084-7BECDAC9D18A}">
  <dimension ref="A11:G17"/>
  <sheetViews>
    <sheetView showGridLines="0" zoomScale="120" zoomScaleNormal="120" workbookViewId="0">
      <selection activeCell="H25" sqref="H25"/>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8" t="s">
        <v>3</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7"/>
      <c r="B17" s="27"/>
      <c r="C17" s="27"/>
      <c r="D17" s="27"/>
      <c r="E17" s="27"/>
      <c r="F17" s="27"/>
    </row>
  </sheetData>
  <sheetProtection selectLockedCells="1" selectUnlockedCells="1"/>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B6EB5-DE71-7B46-99A3-CFAC3F8D732A}">
  <dimension ref="A1:S14"/>
  <sheetViews>
    <sheetView showGridLines="0" zoomScale="90" zoomScaleNormal="90" workbookViewId="0">
      <selection activeCell="F23" sqref="F23"/>
    </sheetView>
  </sheetViews>
  <sheetFormatPr baseColWidth="10" defaultColWidth="10.83203125" defaultRowHeight="16" x14ac:dyDescent="0.2"/>
  <cols>
    <col min="1" max="1" width="23.6640625" style="1" bestFit="1" customWidth="1"/>
    <col min="2" max="9" width="15.83203125" style="1" customWidth="1"/>
    <col min="10" max="13" width="10.83203125" style="1"/>
    <col min="14" max="14" width="2.6640625" style="1" customWidth="1"/>
    <col min="15" max="16384" width="10.83203125" style="1"/>
  </cols>
  <sheetData>
    <row r="1" spans="1:19" ht="72" customHeight="1" x14ac:dyDescent="0.2">
      <c r="H1" s="50" t="s">
        <v>134</v>
      </c>
      <c r="I1" s="32"/>
      <c r="N1" s="53"/>
      <c r="O1" s="54"/>
      <c r="P1" s="52"/>
      <c r="Q1" s="52"/>
      <c r="S1" s="22"/>
    </row>
    <row r="2" spans="1:19" ht="40" customHeight="1" x14ac:dyDescent="0.2">
      <c r="A2" s="13"/>
      <c r="B2" s="13"/>
      <c r="C2" s="13"/>
      <c r="D2" s="13"/>
      <c r="E2" s="13"/>
      <c r="F2" s="13"/>
      <c r="G2" s="13"/>
      <c r="H2" s="13"/>
      <c r="I2" s="13"/>
      <c r="J2" s="14"/>
      <c r="K2" s="14"/>
      <c r="L2" s="14"/>
      <c r="M2" s="14"/>
      <c r="N2" s="14"/>
      <c r="O2" s="14"/>
      <c r="P2" s="14"/>
      <c r="Q2" s="14"/>
      <c r="R2" s="14"/>
      <c r="S2" s="14"/>
    </row>
    <row r="3" spans="1:19" ht="16" customHeight="1" x14ac:dyDescent="0.2">
      <c r="D3" s="14"/>
      <c r="E3" s="14"/>
      <c r="F3" s="14"/>
      <c r="G3" s="14"/>
      <c r="H3" s="14"/>
      <c r="I3" s="14"/>
      <c r="J3" s="14"/>
      <c r="K3" s="14"/>
      <c r="L3" s="14"/>
      <c r="M3" s="14"/>
      <c r="N3" s="14"/>
      <c r="O3" s="14"/>
      <c r="P3" s="14"/>
      <c r="Q3" s="14"/>
      <c r="R3" s="14"/>
      <c r="S3" s="14"/>
    </row>
    <row r="4" spans="1:19" ht="16" customHeight="1" x14ac:dyDescent="0.2">
      <c r="A4" s="59" t="s">
        <v>93</v>
      </c>
      <c r="B4" s="59"/>
      <c r="C4" s="59"/>
      <c r="D4" s="59"/>
      <c r="E4" s="59"/>
      <c r="F4" s="59"/>
      <c r="G4" s="59"/>
      <c r="H4" s="59"/>
      <c r="I4" s="59"/>
      <c r="J4" s="33"/>
      <c r="K4" s="33"/>
      <c r="L4" s="33"/>
      <c r="M4" s="33"/>
      <c r="N4" s="33"/>
      <c r="O4" s="14"/>
      <c r="P4" s="14"/>
      <c r="Q4" s="14"/>
      <c r="R4" s="14"/>
      <c r="S4" s="14"/>
    </row>
    <row r="5" spans="1:19" ht="16" customHeight="1" x14ac:dyDescent="0.2">
      <c r="A5" s="59"/>
      <c r="B5" s="59"/>
      <c r="C5" s="59"/>
      <c r="D5" s="59"/>
      <c r="E5" s="59"/>
      <c r="F5" s="59"/>
      <c r="G5" s="59"/>
      <c r="H5" s="59"/>
      <c r="I5" s="59"/>
      <c r="J5" s="33"/>
      <c r="K5" s="33"/>
      <c r="L5" s="33"/>
      <c r="M5" s="33"/>
      <c r="N5" s="33"/>
      <c r="O5" s="14"/>
      <c r="P5" s="14"/>
      <c r="Q5" s="14"/>
      <c r="R5" s="14"/>
      <c r="S5" s="14"/>
    </row>
    <row r="6" spans="1:19" ht="16" customHeight="1" x14ac:dyDescent="0.2">
      <c r="A6" s="33"/>
      <c r="B6" s="33"/>
      <c r="C6" s="33"/>
      <c r="D6" s="33"/>
      <c r="E6" s="33"/>
      <c r="F6" s="33"/>
      <c r="G6" s="33"/>
      <c r="H6" s="33"/>
      <c r="I6" s="33"/>
      <c r="J6" s="33"/>
      <c r="K6" s="33"/>
      <c r="L6" s="33"/>
      <c r="M6" s="33"/>
      <c r="N6" s="33"/>
      <c r="O6" s="14"/>
      <c r="P6" s="14"/>
      <c r="Q6" s="14"/>
      <c r="R6" s="14"/>
      <c r="S6" s="14"/>
    </row>
    <row r="7" spans="1:19" ht="25" customHeight="1" thickBot="1" x14ac:dyDescent="0.25">
      <c r="A7" s="68"/>
      <c r="B7" s="84" t="s">
        <v>419</v>
      </c>
      <c r="C7" s="84"/>
      <c r="D7" s="84"/>
      <c r="E7" s="85"/>
      <c r="F7" s="86" t="s">
        <v>420</v>
      </c>
      <c r="G7" s="85"/>
      <c r="H7" s="84" t="s">
        <v>421</v>
      </c>
      <c r="I7" s="84"/>
      <c r="J7" s="33"/>
      <c r="K7" s="33"/>
      <c r="L7" s="33"/>
      <c r="M7" s="33"/>
      <c r="N7" s="33"/>
      <c r="O7" s="14"/>
      <c r="P7" s="14"/>
      <c r="Q7" s="14"/>
      <c r="R7" s="14"/>
      <c r="S7" s="14"/>
    </row>
    <row r="8" spans="1:19" ht="84" customHeight="1" thickTop="1" thickBot="1" x14ac:dyDescent="0.25">
      <c r="A8" s="67" t="s">
        <v>94</v>
      </c>
      <c r="B8" s="41" t="s">
        <v>285</v>
      </c>
      <c r="C8" s="41" t="s">
        <v>286</v>
      </c>
      <c r="D8" s="41" t="s">
        <v>287</v>
      </c>
      <c r="E8" s="41" t="s">
        <v>288</v>
      </c>
      <c r="F8" s="41" t="s">
        <v>289</v>
      </c>
      <c r="G8" s="41" t="s">
        <v>290</v>
      </c>
      <c r="H8" s="41" t="s">
        <v>291</v>
      </c>
      <c r="I8" s="41" t="s">
        <v>292</v>
      </c>
    </row>
    <row r="9" spans="1:19" s="19" customFormat="1" ht="24" customHeight="1" thickTop="1" x14ac:dyDescent="0.2">
      <c r="A9" s="42"/>
      <c r="B9" s="43"/>
      <c r="C9" s="44"/>
      <c r="D9" s="43"/>
      <c r="E9" s="44"/>
      <c r="F9" s="43"/>
      <c r="G9" s="44"/>
      <c r="H9" s="43"/>
      <c r="I9" s="44"/>
      <c r="K9" s="69"/>
    </row>
    <row r="10" spans="1:19" s="19" customFormat="1" ht="24" customHeight="1" x14ac:dyDescent="0.2">
      <c r="A10" s="45"/>
      <c r="B10" s="46"/>
      <c r="C10" s="47"/>
      <c r="D10" s="46"/>
      <c r="E10" s="47"/>
      <c r="F10" s="46"/>
      <c r="G10" s="47"/>
      <c r="H10" s="46"/>
      <c r="I10" s="47"/>
    </row>
    <row r="11" spans="1:19" s="19" customFormat="1" ht="24" customHeight="1" x14ac:dyDescent="0.2">
      <c r="A11" s="45"/>
      <c r="B11" s="46"/>
      <c r="C11" s="47"/>
      <c r="D11" s="46"/>
      <c r="E11" s="47"/>
      <c r="F11" s="46"/>
      <c r="G11" s="47"/>
      <c r="H11" s="46"/>
      <c r="I11" s="47"/>
    </row>
    <row r="12" spans="1:19" s="19" customFormat="1" ht="24" customHeight="1" x14ac:dyDescent="0.2">
      <c r="A12" s="45"/>
      <c r="B12" s="46"/>
      <c r="C12" s="47"/>
      <c r="D12" s="46"/>
      <c r="E12" s="47"/>
      <c r="F12" s="46"/>
      <c r="G12" s="47"/>
      <c r="H12" s="46"/>
      <c r="I12" s="47"/>
    </row>
    <row r="13" spans="1:19" s="19" customFormat="1" ht="24" customHeight="1" x14ac:dyDescent="0.2">
      <c r="A13" s="45"/>
      <c r="B13" s="46"/>
      <c r="C13" s="47"/>
      <c r="D13" s="46"/>
      <c r="E13" s="47"/>
      <c r="F13" s="46"/>
      <c r="G13" s="47"/>
      <c r="H13" s="46"/>
      <c r="I13" s="47"/>
    </row>
    <row r="14" spans="1:19" s="19" customFormat="1" ht="24" customHeight="1" x14ac:dyDescent="0.2">
      <c r="A14" s="45"/>
      <c r="B14" s="46"/>
      <c r="C14" s="47"/>
      <c r="D14" s="46"/>
      <c r="E14" s="47"/>
      <c r="F14" s="46"/>
      <c r="G14" s="47"/>
      <c r="H14" s="46"/>
      <c r="I14" s="47"/>
    </row>
  </sheetData>
  <sheetProtection formatCells="0" formatColumns="0" formatRows="0" insertColumns="0" insertRows="0"/>
  <mergeCells count="6">
    <mergeCell ref="N1:O1"/>
    <mergeCell ref="P1:Q1"/>
    <mergeCell ref="A4:I5"/>
    <mergeCell ref="B7:E7"/>
    <mergeCell ref="F7:G7"/>
    <mergeCell ref="H7:I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6"/>
  <dimension ref="A1:N215"/>
  <sheetViews>
    <sheetView showGridLines="0" zoomScale="90" zoomScaleNormal="90" workbookViewId="0">
      <selection activeCell="B5" sqref="B5:H5"/>
    </sheetView>
  </sheetViews>
  <sheetFormatPr baseColWidth="10" defaultColWidth="10.83203125" defaultRowHeight="16" x14ac:dyDescent="0.2"/>
  <cols>
    <col min="1" max="1" width="45.1640625" style="1" customWidth="1"/>
    <col min="2" max="2" width="54.33203125" style="1" customWidth="1"/>
    <col min="3" max="3" width="24.83203125" style="1" customWidth="1"/>
    <col min="4" max="7" width="24.83203125" style="8" customWidth="1"/>
    <col min="8" max="8" width="12.1640625" style="8" customWidth="1"/>
    <col min="9" max="16384" width="10.83203125" style="1"/>
  </cols>
  <sheetData>
    <row r="1" spans="1:14" ht="72" customHeight="1" x14ac:dyDescent="0.2">
      <c r="D1" s="33"/>
      <c r="E1" s="33"/>
      <c r="F1" s="50"/>
      <c r="G1" s="50" t="s">
        <v>134</v>
      </c>
      <c r="H1" s="32"/>
      <c r="I1" s="32"/>
    </row>
    <row r="2" spans="1:14" ht="40" customHeight="1" x14ac:dyDescent="0.2">
      <c r="B2" s="14"/>
      <c r="C2" s="14"/>
      <c r="D2" s="14"/>
      <c r="E2" s="14"/>
      <c r="F2" s="14"/>
      <c r="G2" s="14"/>
      <c r="H2" s="14"/>
    </row>
    <row r="3" spans="1:14" ht="16" customHeight="1" x14ac:dyDescent="0.2">
      <c r="B3" s="14"/>
      <c r="C3" s="14"/>
      <c r="D3" s="14"/>
      <c r="E3" s="14"/>
      <c r="F3" s="14"/>
      <c r="G3" s="14"/>
      <c r="H3" s="14"/>
    </row>
    <row r="4" spans="1:14" ht="21" x14ac:dyDescent="0.25">
      <c r="A4" s="15" t="s">
        <v>133</v>
      </c>
      <c r="B4" s="87" t="s">
        <v>426</v>
      </c>
      <c r="C4" s="87"/>
      <c r="D4" s="87"/>
      <c r="E4" s="87"/>
      <c r="F4" s="87"/>
      <c r="G4" s="87"/>
      <c r="H4" s="87"/>
    </row>
    <row r="5" spans="1:14" ht="118" customHeight="1" x14ac:dyDescent="0.2">
      <c r="A5" s="15" t="s">
        <v>132</v>
      </c>
      <c r="B5" s="70" t="s">
        <v>425</v>
      </c>
      <c r="C5" s="70"/>
      <c r="D5" s="70"/>
      <c r="E5" s="70"/>
      <c r="F5" s="70"/>
      <c r="G5" s="70"/>
      <c r="H5" s="70"/>
    </row>
    <row r="6" spans="1:14" s="7" customFormat="1" ht="25" customHeight="1" thickBot="1" x14ac:dyDescent="0.25">
      <c r="A6" s="88" t="s">
        <v>424</v>
      </c>
      <c r="B6" s="88" t="s">
        <v>423</v>
      </c>
      <c r="C6" s="88" t="s">
        <v>471</v>
      </c>
      <c r="D6" s="88" t="s">
        <v>472</v>
      </c>
      <c r="E6" s="88" t="s">
        <v>143</v>
      </c>
      <c r="F6" s="88" t="s">
        <v>141</v>
      </c>
      <c r="G6" s="88" t="s">
        <v>142</v>
      </c>
      <c r="H6" s="88" t="s">
        <v>70</v>
      </c>
    </row>
    <row r="7" spans="1:14" s="7" customFormat="1" ht="20" customHeight="1" thickTop="1" x14ac:dyDescent="0.2">
      <c r="A7" s="74"/>
      <c r="B7" s="80"/>
      <c r="C7" s="75"/>
      <c r="D7" s="75"/>
      <c r="E7" s="75"/>
      <c r="F7" s="75"/>
      <c r="G7" s="75"/>
      <c r="H7" s="76"/>
      <c r="K7" s="49"/>
      <c r="L7" s="49"/>
      <c r="M7" s="49"/>
      <c r="N7" s="49"/>
    </row>
    <row r="8" spans="1:14" s="7" customFormat="1" ht="20" customHeight="1" x14ac:dyDescent="0.2">
      <c r="A8" s="71"/>
      <c r="B8" s="81"/>
      <c r="C8" s="72"/>
      <c r="D8" s="72"/>
      <c r="E8" s="72"/>
      <c r="F8" s="72"/>
      <c r="G8" s="72"/>
      <c r="H8" s="73"/>
      <c r="J8" s="7"/>
      <c r="K8" s="49"/>
      <c r="L8" s="49"/>
      <c r="M8" s="49"/>
      <c r="N8" s="49"/>
    </row>
    <row r="9" spans="1:14" s="7" customFormat="1" ht="20" customHeight="1" x14ac:dyDescent="0.2">
      <c r="A9" s="77"/>
      <c r="B9" s="82"/>
      <c r="C9" s="78"/>
      <c r="D9" s="78"/>
      <c r="E9" s="78"/>
      <c r="F9" s="78"/>
      <c r="G9" s="78"/>
      <c r="H9" s="79"/>
      <c r="J9" s="7"/>
      <c r="K9" s="49"/>
      <c r="L9" s="49"/>
      <c r="M9" s="49"/>
      <c r="N9" s="49"/>
    </row>
    <row r="10" spans="1:14" s="7" customFormat="1" ht="20" customHeight="1" x14ac:dyDescent="0.2">
      <c r="A10" s="71"/>
      <c r="B10" s="81"/>
      <c r="C10" s="72"/>
      <c r="D10" s="72"/>
      <c r="E10" s="72"/>
      <c r="F10" s="72"/>
      <c r="G10" s="72"/>
      <c r="H10" s="73"/>
      <c r="K10" s="49"/>
      <c r="L10" s="49"/>
      <c r="M10" s="49"/>
      <c r="N10" s="49"/>
    </row>
    <row r="11" spans="1:14" s="7" customFormat="1" ht="20" customHeight="1" x14ac:dyDescent="0.2">
      <c r="A11" s="77"/>
      <c r="B11" s="82"/>
      <c r="C11" s="78"/>
      <c r="D11" s="78"/>
      <c r="E11" s="78"/>
      <c r="F11" s="78"/>
      <c r="G11" s="78"/>
      <c r="H11" s="79"/>
      <c r="K11" s="49"/>
      <c r="L11" s="49"/>
      <c r="M11" s="49"/>
      <c r="N11" s="49"/>
    </row>
    <row r="12" spans="1:14" s="7" customFormat="1" ht="20" customHeight="1" x14ac:dyDescent="0.2">
      <c r="A12" s="71"/>
      <c r="B12" s="81"/>
      <c r="C12" s="72"/>
      <c r="D12" s="72"/>
      <c r="E12" s="72"/>
      <c r="F12" s="72"/>
      <c r="G12" s="72"/>
      <c r="H12" s="73"/>
      <c r="K12" s="49"/>
      <c r="L12" s="49"/>
      <c r="M12" s="49"/>
      <c r="N12" s="49"/>
    </row>
    <row r="13" spans="1:14" s="7" customFormat="1" ht="20" customHeight="1" x14ac:dyDescent="0.2">
      <c r="A13" s="77"/>
      <c r="B13" s="82"/>
      <c r="C13" s="78"/>
      <c r="D13" s="78"/>
      <c r="E13" s="78"/>
      <c r="F13" s="78"/>
      <c r="G13" s="78"/>
      <c r="H13" s="79"/>
      <c r="K13" s="49"/>
      <c r="L13" s="49"/>
      <c r="M13" s="49"/>
      <c r="N13" s="49"/>
    </row>
    <row r="14" spans="1:14" s="7" customFormat="1" ht="20" customHeight="1" x14ac:dyDescent="0.2">
      <c r="A14" s="71"/>
      <c r="B14" s="81"/>
      <c r="C14" s="72"/>
      <c r="D14" s="72"/>
      <c r="E14" s="72"/>
      <c r="F14" s="72"/>
      <c r="G14" s="72"/>
      <c r="H14" s="73"/>
      <c r="K14" s="49"/>
      <c r="L14" s="49"/>
      <c r="M14" s="49"/>
      <c r="N14" s="49"/>
    </row>
    <row r="15" spans="1:14" s="7" customFormat="1" ht="20" customHeight="1" x14ac:dyDescent="0.2">
      <c r="A15" s="77"/>
      <c r="B15" s="82"/>
      <c r="C15" s="78"/>
      <c r="D15" s="78"/>
      <c r="E15" s="78"/>
      <c r="F15" s="78"/>
      <c r="G15" s="78"/>
      <c r="H15" s="79"/>
      <c r="K15" s="49"/>
      <c r="L15" s="49"/>
      <c r="M15" s="49"/>
      <c r="N15" s="49"/>
    </row>
    <row r="16" spans="1:14" s="7" customFormat="1" ht="20" customHeight="1" x14ac:dyDescent="0.2">
      <c r="A16" s="71"/>
      <c r="B16" s="81"/>
      <c r="C16" s="72"/>
      <c r="D16" s="72"/>
      <c r="E16" s="72"/>
      <c r="F16" s="72"/>
      <c r="G16" s="72"/>
      <c r="H16" s="73"/>
      <c r="K16" s="49"/>
      <c r="L16" s="49"/>
      <c r="M16" s="49"/>
      <c r="N16" s="49"/>
    </row>
    <row r="17" spans="1:14" s="7" customFormat="1" ht="20" customHeight="1" x14ac:dyDescent="0.2">
      <c r="A17" s="77"/>
      <c r="B17" s="82"/>
      <c r="C17" s="78"/>
      <c r="D17" s="78"/>
      <c r="E17" s="78"/>
      <c r="F17" s="78"/>
      <c r="G17" s="78"/>
      <c r="H17" s="79"/>
      <c r="K17" s="49"/>
      <c r="L17" s="49"/>
      <c r="M17" s="49"/>
      <c r="N17" s="49"/>
    </row>
    <row r="18" spans="1:14" s="7" customFormat="1" ht="20" customHeight="1" x14ac:dyDescent="0.2">
      <c r="A18" s="71"/>
      <c r="B18" s="81"/>
      <c r="C18" s="72"/>
      <c r="D18" s="72"/>
      <c r="E18" s="72"/>
      <c r="F18" s="72"/>
      <c r="G18" s="72"/>
      <c r="H18" s="73"/>
      <c r="K18" s="49"/>
      <c r="L18" s="49"/>
      <c r="M18" s="49"/>
      <c r="N18" s="49"/>
    </row>
    <row r="19" spans="1:14" s="7" customFormat="1" ht="20" customHeight="1" x14ac:dyDescent="0.2">
      <c r="A19" s="77"/>
      <c r="B19" s="82"/>
      <c r="C19" s="78"/>
      <c r="D19" s="78"/>
      <c r="E19" s="78"/>
      <c r="F19" s="78"/>
      <c r="G19" s="78"/>
      <c r="H19" s="79"/>
      <c r="K19" s="49"/>
      <c r="L19" s="49"/>
      <c r="M19" s="49"/>
      <c r="N19" s="49"/>
    </row>
    <row r="20" spans="1:14" s="7" customFormat="1" ht="20" customHeight="1" x14ac:dyDescent="0.2">
      <c r="A20" s="71"/>
      <c r="B20" s="81"/>
      <c r="C20" s="72"/>
      <c r="D20" s="72"/>
      <c r="E20" s="72"/>
      <c r="F20" s="72"/>
      <c r="G20" s="72"/>
      <c r="H20" s="73"/>
      <c r="K20" s="49"/>
      <c r="L20" s="49"/>
      <c r="M20" s="49"/>
      <c r="N20" s="49"/>
    </row>
    <row r="21" spans="1:14" s="7" customFormat="1" ht="20" customHeight="1" x14ac:dyDescent="0.2">
      <c r="A21" s="77"/>
      <c r="B21" s="82"/>
      <c r="C21" s="78"/>
      <c r="D21" s="78"/>
      <c r="E21" s="78"/>
      <c r="F21" s="78"/>
      <c r="G21" s="78"/>
      <c r="H21" s="79"/>
      <c r="K21" s="49"/>
      <c r="L21" s="49"/>
      <c r="M21" s="49"/>
      <c r="N21" s="49"/>
    </row>
    <row r="22" spans="1:14" s="7" customFormat="1" ht="20" customHeight="1" x14ac:dyDescent="0.2">
      <c r="A22" s="71"/>
      <c r="B22" s="81"/>
      <c r="C22" s="72"/>
      <c r="D22" s="72"/>
      <c r="E22" s="72"/>
      <c r="F22" s="72"/>
      <c r="G22" s="72"/>
      <c r="H22" s="73"/>
      <c r="K22" s="49"/>
      <c r="L22" s="49"/>
      <c r="M22" s="49"/>
      <c r="N22" s="49"/>
    </row>
    <row r="23" spans="1:14" s="7" customFormat="1" ht="20" customHeight="1" x14ac:dyDescent="0.2">
      <c r="A23" s="77"/>
      <c r="B23" s="82"/>
      <c r="C23" s="78"/>
      <c r="D23" s="78"/>
      <c r="E23" s="78"/>
      <c r="F23" s="78"/>
      <c r="G23" s="78"/>
      <c r="H23" s="79"/>
      <c r="K23" s="49"/>
      <c r="L23" s="49"/>
      <c r="M23" s="49"/>
      <c r="N23" s="49"/>
    </row>
    <row r="24" spans="1:14" s="7" customFormat="1" ht="20" customHeight="1" x14ac:dyDescent="0.2">
      <c r="A24" s="71"/>
      <c r="B24" s="81"/>
      <c r="C24" s="72"/>
      <c r="D24" s="72"/>
      <c r="E24" s="72"/>
      <c r="F24" s="72"/>
      <c r="G24" s="72"/>
      <c r="H24" s="73"/>
      <c r="K24" s="49"/>
      <c r="L24" s="49"/>
      <c r="M24" s="49"/>
      <c r="N24" s="49"/>
    </row>
    <row r="25" spans="1:14" s="7" customFormat="1" ht="20" customHeight="1" x14ac:dyDescent="0.2">
      <c r="A25" s="77"/>
      <c r="B25" s="82"/>
      <c r="C25" s="78"/>
      <c r="D25" s="78"/>
      <c r="E25" s="78"/>
      <c r="F25" s="78"/>
      <c r="G25" s="78"/>
      <c r="H25" s="79"/>
      <c r="K25" s="49"/>
      <c r="L25" s="49"/>
      <c r="M25" s="49"/>
      <c r="N25" s="49"/>
    </row>
    <row r="26" spans="1:14" s="7" customFormat="1" ht="20" customHeight="1" x14ac:dyDescent="0.2">
      <c r="A26" s="71"/>
      <c r="B26" s="81"/>
      <c r="C26" s="72"/>
      <c r="D26" s="72"/>
      <c r="E26" s="72"/>
      <c r="F26" s="72"/>
      <c r="G26" s="72"/>
      <c r="H26" s="73"/>
      <c r="K26" s="49"/>
      <c r="L26" s="49"/>
      <c r="M26" s="49"/>
      <c r="N26" s="49"/>
    </row>
    <row r="27" spans="1:14" s="7" customFormat="1" ht="20" customHeight="1" x14ac:dyDescent="0.2">
      <c r="A27" s="77"/>
      <c r="B27" s="82"/>
      <c r="C27" s="78"/>
      <c r="D27" s="78"/>
      <c r="E27" s="78"/>
      <c r="F27" s="78"/>
      <c r="G27" s="78"/>
      <c r="H27" s="79"/>
      <c r="K27" s="49"/>
      <c r="L27" s="49"/>
      <c r="M27" s="49"/>
      <c r="N27" s="49"/>
    </row>
    <row r="28" spans="1:14" s="7" customFormat="1" ht="20" customHeight="1" x14ac:dyDescent="0.2">
      <c r="A28" s="71"/>
      <c r="B28" s="81"/>
      <c r="C28" s="72"/>
      <c r="D28" s="72"/>
      <c r="E28" s="72"/>
      <c r="F28" s="72"/>
      <c r="G28" s="72"/>
      <c r="H28" s="73"/>
      <c r="K28" s="49"/>
      <c r="L28" s="49"/>
      <c r="M28" s="49"/>
      <c r="N28" s="49"/>
    </row>
    <row r="29" spans="1:14" s="7" customFormat="1" ht="20" customHeight="1" x14ac:dyDescent="0.2">
      <c r="A29" s="77"/>
      <c r="B29" s="82"/>
      <c r="C29" s="78"/>
      <c r="D29" s="78"/>
      <c r="E29" s="78"/>
      <c r="F29" s="78"/>
      <c r="G29" s="78"/>
      <c r="H29" s="79"/>
      <c r="K29" s="49"/>
      <c r="L29" s="49"/>
      <c r="M29" s="49"/>
      <c r="N29" s="49"/>
    </row>
    <row r="30" spans="1:14" s="7" customFormat="1" ht="20" customHeight="1" x14ac:dyDescent="0.2">
      <c r="A30" s="71"/>
      <c r="B30" s="81"/>
      <c r="C30" s="72"/>
      <c r="D30" s="72"/>
      <c r="E30" s="72"/>
      <c r="F30" s="72"/>
      <c r="G30" s="72"/>
      <c r="H30" s="73"/>
      <c r="K30" s="49"/>
      <c r="L30" s="49"/>
      <c r="M30" s="49"/>
      <c r="N30" s="49"/>
    </row>
    <row r="31" spans="1:14" s="7" customFormat="1" ht="20" customHeight="1" x14ac:dyDescent="0.2">
      <c r="A31" s="77"/>
      <c r="B31" s="82"/>
      <c r="C31" s="78"/>
      <c r="D31" s="78"/>
      <c r="E31" s="78"/>
      <c r="F31" s="78"/>
      <c r="G31" s="78"/>
      <c r="H31" s="79"/>
      <c r="K31" s="49"/>
      <c r="L31" s="49"/>
      <c r="M31" s="49"/>
      <c r="N31" s="49"/>
    </row>
    <row r="32" spans="1:14" s="7" customFormat="1" ht="20" customHeight="1" x14ac:dyDescent="0.2">
      <c r="A32" s="71"/>
      <c r="B32" s="81"/>
      <c r="C32" s="72"/>
      <c r="D32" s="72"/>
      <c r="E32" s="72"/>
      <c r="F32" s="72"/>
      <c r="G32" s="72"/>
      <c r="H32" s="73"/>
      <c r="K32" s="49"/>
      <c r="L32" s="49"/>
      <c r="M32" s="49"/>
      <c r="N32" s="49"/>
    </row>
    <row r="33" spans="1:14" s="7" customFormat="1" ht="20" customHeight="1" x14ac:dyDescent="0.2">
      <c r="A33" s="77"/>
      <c r="B33" s="82"/>
      <c r="C33" s="78"/>
      <c r="D33" s="78"/>
      <c r="E33" s="78"/>
      <c r="F33" s="78"/>
      <c r="G33" s="78"/>
      <c r="H33" s="79"/>
      <c r="K33" s="49"/>
      <c r="L33" s="49"/>
      <c r="M33" s="49"/>
      <c r="N33" s="49"/>
    </row>
    <row r="34" spans="1:14" s="7" customFormat="1" ht="20" customHeight="1" x14ac:dyDescent="0.2">
      <c r="A34" s="71"/>
      <c r="B34" s="81"/>
      <c r="C34" s="72"/>
      <c r="D34" s="72"/>
      <c r="E34" s="72"/>
      <c r="F34" s="72"/>
      <c r="G34" s="72"/>
      <c r="H34" s="73"/>
      <c r="K34" s="49"/>
      <c r="L34" s="49"/>
      <c r="M34" s="49"/>
      <c r="N34" s="49"/>
    </row>
    <row r="35" spans="1:14" s="7" customFormat="1" ht="20" customHeight="1" x14ac:dyDescent="0.2">
      <c r="A35" s="77"/>
      <c r="B35" s="82"/>
      <c r="C35" s="78"/>
      <c r="D35" s="78"/>
      <c r="E35" s="78"/>
      <c r="F35" s="78"/>
      <c r="G35" s="78"/>
      <c r="H35" s="79"/>
      <c r="K35" s="49"/>
      <c r="L35" s="49"/>
      <c r="M35" s="49"/>
      <c r="N35" s="49"/>
    </row>
    <row r="36" spans="1:14" s="7" customFormat="1" ht="20" customHeight="1" x14ac:dyDescent="0.2">
      <c r="A36" s="71"/>
      <c r="B36" s="81"/>
      <c r="C36" s="72"/>
      <c r="D36" s="72"/>
      <c r="E36" s="72"/>
      <c r="F36" s="72"/>
      <c r="G36" s="72"/>
      <c r="H36" s="73"/>
      <c r="K36" s="49"/>
      <c r="L36" s="49"/>
      <c r="M36" s="49"/>
      <c r="N36" s="49"/>
    </row>
    <row r="37" spans="1:14" s="7" customFormat="1" ht="20" customHeight="1" x14ac:dyDescent="0.2">
      <c r="A37" s="77"/>
      <c r="B37" s="82"/>
      <c r="C37" s="78"/>
      <c r="D37" s="78"/>
      <c r="E37" s="78"/>
      <c r="F37" s="78"/>
      <c r="G37" s="78"/>
      <c r="H37" s="79"/>
      <c r="K37" s="49"/>
      <c r="L37" s="49"/>
      <c r="M37" s="49"/>
      <c r="N37" s="49"/>
    </row>
    <row r="38" spans="1:14" s="7" customFormat="1" ht="20" customHeight="1" x14ac:dyDescent="0.2">
      <c r="A38" s="71"/>
      <c r="B38" s="81"/>
      <c r="C38" s="72"/>
      <c r="D38" s="72"/>
      <c r="E38" s="72"/>
      <c r="F38" s="72"/>
      <c r="G38" s="72"/>
      <c r="H38" s="73"/>
      <c r="K38" s="49"/>
      <c r="L38" s="49"/>
      <c r="M38" s="49"/>
      <c r="N38" s="49"/>
    </row>
    <row r="39" spans="1:14" s="7" customFormat="1" ht="20" customHeight="1" x14ac:dyDescent="0.2">
      <c r="A39" s="77"/>
      <c r="B39" s="82"/>
      <c r="C39" s="78"/>
      <c r="D39" s="78"/>
      <c r="E39" s="78"/>
      <c r="F39" s="78"/>
      <c r="G39" s="78"/>
      <c r="H39" s="79"/>
      <c r="K39" s="49"/>
      <c r="L39" s="49"/>
      <c r="M39" s="49"/>
      <c r="N39" s="49"/>
    </row>
    <row r="40" spans="1:14" s="7" customFormat="1" ht="20" customHeight="1" x14ac:dyDescent="0.2">
      <c r="A40" s="71"/>
      <c r="B40" s="81"/>
      <c r="C40" s="72"/>
      <c r="D40" s="72"/>
      <c r="E40" s="72"/>
      <c r="F40" s="72"/>
      <c r="G40" s="72"/>
      <c r="H40" s="73"/>
      <c r="K40" s="49"/>
      <c r="L40" s="49"/>
      <c r="M40" s="49"/>
      <c r="N40" s="49"/>
    </row>
    <row r="41" spans="1:14" s="7" customFormat="1" ht="20" customHeight="1" x14ac:dyDescent="0.2">
      <c r="A41" s="77"/>
      <c r="B41" s="82"/>
      <c r="C41" s="78"/>
      <c r="D41" s="78"/>
      <c r="E41" s="78"/>
      <c r="F41" s="78"/>
      <c r="G41" s="78"/>
      <c r="H41" s="79"/>
      <c r="K41" s="49"/>
      <c r="L41" s="49"/>
      <c r="M41" s="49"/>
      <c r="N41" s="49"/>
    </row>
    <row r="42" spans="1:14" s="7" customFormat="1" ht="20" customHeight="1" x14ac:dyDescent="0.2">
      <c r="A42" s="71"/>
      <c r="B42" s="81"/>
      <c r="C42" s="72"/>
      <c r="D42" s="72"/>
      <c r="E42" s="72"/>
      <c r="F42" s="72"/>
      <c r="G42" s="72"/>
      <c r="H42" s="73"/>
      <c r="K42" s="49"/>
      <c r="L42" s="49"/>
      <c r="M42" s="49"/>
      <c r="N42" s="49"/>
    </row>
    <row r="43" spans="1:14" s="7" customFormat="1" ht="20" customHeight="1" x14ac:dyDescent="0.2">
      <c r="A43" s="77"/>
      <c r="B43" s="82"/>
      <c r="C43" s="78"/>
      <c r="D43" s="78"/>
      <c r="E43" s="78"/>
      <c r="F43" s="78"/>
      <c r="G43" s="78"/>
      <c r="H43" s="79"/>
      <c r="K43" s="49"/>
      <c r="L43" s="49"/>
      <c r="M43" s="49"/>
      <c r="N43" s="49"/>
    </row>
    <row r="44" spans="1:14" s="7" customFormat="1" ht="20" customHeight="1" x14ac:dyDescent="0.2">
      <c r="A44" s="71"/>
      <c r="B44" s="81"/>
      <c r="C44" s="72"/>
      <c r="D44" s="72"/>
      <c r="E44" s="72"/>
      <c r="F44" s="72"/>
      <c r="G44" s="72"/>
      <c r="H44" s="73"/>
      <c r="K44" s="49"/>
      <c r="L44" s="49"/>
      <c r="M44" s="49"/>
      <c r="N44" s="49"/>
    </row>
    <row r="45" spans="1:14" s="7" customFormat="1" ht="20" customHeight="1" x14ac:dyDescent="0.2">
      <c r="A45" s="77"/>
      <c r="B45" s="82"/>
      <c r="C45" s="78"/>
      <c r="D45" s="78"/>
      <c r="E45" s="78"/>
      <c r="F45" s="78"/>
      <c r="G45" s="78"/>
      <c r="H45" s="79"/>
      <c r="K45" s="49"/>
      <c r="L45" s="49"/>
      <c r="M45" s="49"/>
      <c r="N45" s="49"/>
    </row>
    <row r="46" spans="1:14" s="7" customFormat="1" ht="20" customHeight="1" x14ac:dyDescent="0.2">
      <c r="A46" s="71"/>
      <c r="B46" s="81"/>
      <c r="C46" s="72"/>
      <c r="D46" s="72"/>
      <c r="E46" s="72"/>
      <c r="F46" s="72"/>
      <c r="G46" s="72"/>
      <c r="H46" s="73"/>
      <c r="K46" s="49"/>
      <c r="L46" s="49"/>
      <c r="M46" s="49"/>
      <c r="N46" s="49"/>
    </row>
    <row r="47" spans="1:14" s="7" customFormat="1" ht="20" customHeight="1" x14ac:dyDescent="0.2">
      <c r="A47" s="77"/>
      <c r="B47" s="82"/>
      <c r="C47" s="78"/>
      <c r="D47" s="78"/>
      <c r="E47" s="78"/>
      <c r="F47" s="78"/>
      <c r="G47" s="78"/>
      <c r="H47" s="79"/>
      <c r="K47" s="49"/>
      <c r="L47" s="49"/>
      <c r="M47" s="49"/>
      <c r="N47" s="49"/>
    </row>
    <row r="48" spans="1:14" s="7" customFormat="1" ht="20" customHeight="1" x14ac:dyDescent="0.2">
      <c r="A48" s="71"/>
      <c r="B48" s="81"/>
      <c r="C48" s="72"/>
      <c r="D48" s="72"/>
      <c r="E48" s="72"/>
      <c r="F48" s="72"/>
      <c r="G48" s="72"/>
      <c r="H48" s="73"/>
      <c r="K48" s="49"/>
      <c r="L48" s="49"/>
      <c r="M48" s="49"/>
      <c r="N48" s="49"/>
    </row>
    <row r="49" spans="1:14" s="7" customFormat="1" ht="20" customHeight="1" x14ac:dyDescent="0.2">
      <c r="A49" s="77"/>
      <c r="B49" s="82"/>
      <c r="C49" s="78"/>
      <c r="D49" s="78"/>
      <c r="E49" s="78"/>
      <c r="F49" s="78"/>
      <c r="G49" s="78"/>
      <c r="H49" s="79"/>
      <c r="K49" s="49"/>
      <c r="L49" s="49"/>
      <c r="M49" s="49"/>
      <c r="N49" s="49"/>
    </row>
    <row r="50" spans="1:14" s="7" customFormat="1" ht="20" customHeight="1" x14ac:dyDescent="0.2">
      <c r="A50" s="71"/>
      <c r="B50" s="81"/>
      <c r="C50" s="72"/>
      <c r="D50" s="72"/>
      <c r="E50" s="72"/>
      <c r="F50" s="72"/>
      <c r="G50" s="72"/>
      <c r="H50" s="73"/>
      <c r="K50" s="49"/>
      <c r="L50" s="49"/>
      <c r="M50" s="49"/>
      <c r="N50" s="49"/>
    </row>
    <row r="51" spans="1:14" s="7" customFormat="1" ht="20" customHeight="1" x14ac:dyDescent="0.2">
      <c r="A51" s="77"/>
      <c r="B51" s="82"/>
      <c r="C51" s="78"/>
      <c r="D51" s="78"/>
      <c r="E51" s="78"/>
      <c r="F51" s="78"/>
      <c r="G51" s="78"/>
      <c r="H51" s="79"/>
      <c r="K51" s="49"/>
      <c r="L51" s="49"/>
      <c r="M51" s="49"/>
      <c r="N51" s="49"/>
    </row>
    <row r="52" spans="1:14" s="7" customFormat="1" ht="20" customHeight="1" x14ac:dyDescent="0.2">
      <c r="A52" s="71"/>
      <c r="B52" s="81"/>
      <c r="C52" s="72"/>
      <c r="D52" s="72"/>
      <c r="E52" s="72"/>
      <c r="F52" s="72"/>
      <c r="G52" s="72"/>
      <c r="H52" s="73"/>
      <c r="K52" s="49"/>
      <c r="L52" s="49"/>
      <c r="M52" s="49"/>
      <c r="N52" s="49"/>
    </row>
    <row r="53" spans="1:14" s="7" customFormat="1" ht="20" customHeight="1" x14ac:dyDescent="0.2">
      <c r="A53" s="77"/>
      <c r="B53" s="82"/>
      <c r="C53" s="78"/>
      <c r="D53" s="78"/>
      <c r="E53" s="78"/>
      <c r="F53" s="78"/>
      <c r="G53" s="78"/>
      <c r="H53" s="79"/>
      <c r="K53" s="49"/>
      <c r="L53" s="49"/>
      <c r="M53" s="49"/>
      <c r="N53" s="49"/>
    </row>
    <row r="54" spans="1:14" s="7" customFormat="1" ht="20" customHeight="1" x14ac:dyDescent="0.2">
      <c r="A54" s="71"/>
      <c r="B54" s="81"/>
      <c r="C54" s="72"/>
      <c r="D54" s="72"/>
      <c r="E54" s="72"/>
      <c r="F54" s="72"/>
      <c r="G54" s="72"/>
      <c r="H54" s="73"/>
      <c r="K54" s="49"/>
      <c r="L54" s="49"/>
      <c r="M54" s="49"/>
      <c r="N54" s="49"/>
    </row>
    <row r="55" spans="1:14" s="7" customFormat="1" ht="20" customHeight="1" x14ac:dyDescent="0.2">
      <c r="A55" s="77"/>
      <c r="B55" s="82"/>
      <c r="C55" s="78"/>
      <c r="D55" s="78"/>
      <c r="E55" s="78"/>
      <c r="F55" s="78"/>
      <c r="G55" s="78"/>
      <c r="H55" s="79"/>
      <c r="K55" s="49"/>
      <c r="L55" s="49"/>
      <c r="M55" s="49"/>
      <c r="N55" s="49"/>
    </row>
    <row r="56" spans="1:14" s="7" customFormat="1" ht="20" customHeight="1" x14ac:dyDescent="0.2">
      <c r="A56" s="71"/>
      <c r="B56" s="81"/>
      <c r="C56" s="72"/>
      <c r="D56" s="72"/>
      <c r="E56" s="72"/>
      <c r="F56" s="72"/>
      <c r="G56" s="72"/>
      <c r="H56" s="73"/>
      <c r="K56" s="49"/>
      <c r="L56" s="49"/>
      <c r="M56" s="49"/>
      <c r="N56" s="49"/>
    </row>
    <row r="57" spans="1:14" s="7" customFormat="1" ht="20" customHeight="1" x14ac:dyDescent="0.2">
      <c r="A57" s="77"/>
      <c r="B57" s="82"/>
      <c r="C57" s="78"/>
      <c r="D57" s="78"/>
      <c r="E57" s="78"/>
      <c r="F57" s="78"/>
      <c r="G57" s="78"/>
      <c r="H57" s="79"/>
      <c r="K57" s="49"/>
      <c r="L57" s="49"/>
      <c r="M57" s="49"/>
      <c r="N57" s="49"/>
    </row>
    <row r="58" spans="1:14" s="7" customFormat="1" ht="20" customHeight="1" x14ac:dyDescent="0.2">
      <c r="A58" s="71"/>
      <c r="B58" s="81"/>
      <c r="C58" s="72"/>
      <c r="D58" s="72"/>
      <c r="E58" s="72"/>
      <c r="F58" s="72"/>
      <c r="G58" s="72"/>
      <c r="H58" s="73"/>
      <c r="K58" s="49"/>
      <c r="L58" s="49"/>
      <c r="M58" s="49"/>
      <c r="N58" s="49"/>
    </row>
    <row r="59" spans="1:14" s="7" customFormat="1" ht="20" customHeight="1" x14ac:dyDescent="0.2">
      <c r="A59" s="77"/>
      <c r="B59" s="82"/>
      <c r="C59" s="78"/>
      <c r="D59" s="78"/>
      <c r="E59" s="78"/>
      <c r="F59" s="78"/>
      <c r="G59" s="78"/>
      <c r="H59" s="79"/>
      <c r="K59" s="49"/>
      <c r="L59" s="49"/>
      <c r="M59" s="49"/>
      <c r="N59" s="49"/>
    </row>
    <row r="60" spans="1:14" s="7" customFormat="1" ht="20" customHeight="1" x14ac:dyDescent="0.2">
      <c r="A60" s="71"/>
      <c r="B60" s="81"/>
      <c r="C60" s="72"/>
      <c r="D60" s="72"/>
      <c r="E60" s="72"/>
      <c r="F60" s="72"/>
      <c r="G60" s="72"/>
      <c r="H60" s="73"/>
      <c r="K60" s="49"/>
      <c r="L60" s="49"/>
      <c r="M60" s="49"/>
      <c r="N60" s="49"/>
    </row>
    <row r="61" spans="1:14" s="7" customFormat="1" ht="20" customHeight="1" x14ac:dyDescent="0.2">
      <c r="A61" s="77"/>
      <c r="B61" s="82"/>
      <c r="C61" s="78"/>
      <c r="D61" s="78"/>
      <c r="E61" s="78"/>
      <c r="F61" s="78"/>
      <c r="G61" s="78"/>
      <c r="H61" s="79"/>
      <c r="K61" s="49"/>
      <c r="L61" s="49"/>
      <c r="M61" s="49"/>
      <c r="N61" s="49"/>
    </row>
    <row r="62" spans="1:14" s="7" customFormat="1" ht="20" customHeight="1" x14ac:dyDescent="0.2">
      <c r="A62" s="71"/>
      <c r="B62" s="81"/>
      <c r="C62" s="72"/>
      <c r="D62" s="72"/>
      <c r="E62" s="72"/>
      <c r="F62" s="72"/>
      <c r="G62" s="72"/>
      <c r="H62" s="73"/>
      <c r="K62" s="49"/>
      <c r="L62" s="49"/>
      <c r="M62" s="49"/>
      <c r="N62" s="49"/>
    </row>
    <row r="63" spans="1:14" s="7" customFormat="1" ht="20" customHeight="1" x14ac:dyDescent="0.2">
      <c r="A63" s="77"/>
      <c r="B63" s="82"/>
      <c r="C63" s="78"/>
      <c r="D63" s="78"/>
      <c r="E63" s="78"/>
      <c r="F63" s="78"/>
      <c r="G63" s="78"/>
      <c r="H63" s="79"/>
      <c r="K63" s="49"/>
      <c r="L63" s="49"/>
      <c r="M63" s="49"/>
      <c r="N63" s="49"/>
    </row>
    <row r="64" spans="1:14" s="7" customFormat="1" ht="20" customHeight="1" x14ac:dyDescent="0.2">
      <c r="A64" s="71"/>
      <c r="B64" s="81"/>
      <c r="C64" s="72"/>
      <c r="D64" s="72"/>
      <c r="E64" s="72"/>
      <c r="F64" s="72"/>
      <c r="G64" s="72"/>
      <c r="H64" s="73"/>
      <c r="K64" s="49"/>
      <c r="L64" s="49"/>
      <c r="M64" s="49"/>
      <c r="N64" s="49"/>
    </row>
    <row r="65" spans="1:14" s="7" customFormat="1" ht="20" customHeight="1" x14ac:dyDescent="0.2">
      <c r="A65" s="77"/>
      <c r="B65" s="82"/>
      <c r="C65" s="78"/>
      <c r="D65" s="78"/>
      <c r="E65" s="78"/>
      <c r="F65" s="78"/>
      <c r="G65" s="78"/>
      <c r="H65" s="79"/>
      <c r="K65" s="49"/>
      <c r="L65" s="49"/>
      <c r="M65" s="49"/>
      <c r="N65" s="49"/>
    </row>
    <row r="66" spans="1:14" s="7" customFormat="1" ht="20" customHeight="1" x14ac:dyDescent="0.2">
      <c r="A66" s="71"/>
      <c r="B66" s="81"/>
      <c r="C66" s="72"/>
      <c r="D66" s="72"/>
      <c r="E66" s="72"/>
      <c r="F66" s="72"/>
      <c r="G66" s="72"/>
      <c r="H66" s="73"/>
      <c r="K66" s="49"/>
      <c r="L66" s="49"/>
      <c r="M66" s="49"/>
      <c r="N66" s="49"/>
    </row>
    <row r="67" spans="1:14" s="7" customFormat="1" ht="20" customHeight="1" x14ac:dyDescent="0.2">
      <c r="A67" s="77"/>
      <c r="B67" s="82"/>
      <c r="C67" s="78"/>
      <c r="D67" s="78"/>
      <c r="E67" s="78"/>
      <c r="F67" s="78"/>
      <c r="G67" s="78"/>
      <c r="H67" s="79"/>
      <c r="K67" s="49"/>
      <c r="L67" s="49"/>
      <c r="M67" s="49"/>
      <c r="N67" s="49"/>
    </row>
    <row r="68" spans="1:14" s="7" customFormat="1" ht="20" customHeight="1" x14ac:dyDescent="0.2">
      <c r="A68" s="71"/>
      <c r="B68" s="81"/>
      <c r="C68" s="72"/>
      <c r="D68" s="72"/>
      <c r="E68" s="72"/>
      <c r="F68" s="72"/>
      <c r="G68" s="72"/>
      <c r="H68" s="73"/>
      <c r="K68" s="49"/>
      <c r="L68" s="49"/>
      <c r="M68" s="49"/>
      <c r="N68" s="49"/>
    </row>
    <row r="69" spans="1:14" s="7" customFormat="1" ht="20" customHeight="1" x14ac:dyDescent="0.2">
      <c r="A69" s="77"/>
      <c r="B69" s="82"/>
      <c r="C69" s="78"/>
      <c r="D69" s="78"/>
      <c r="E69" s="78"/>
      <c r="F69" s="78"/>
      <c r="G69" s="78"/>
      <c r="H69" s="79"/>
      <c r="K69" s="49"/>
      <c r="L69" s="49"/>
      <c r="M69" s="49"/>
      <c r="N69" s="49"/>
    </row>
    <row r="70" spans="1:14" s="7" customFormat="1" ht="20" customHeight="1" x14ac:dyDescent="0.2">
      <c r="A70" s="71"/>
      <c r="B70" s="81"/>
      <c r="C70" s="72"/>
      <c r="D70" s="72"/>
      <c r="E70" s="72"/>
      <c r="F70" s="72"/>
      <c r="G70" s="72"/>
      <c r="H70" s="73"/>
      <c r="K70" s="49"/>
      <c r="L70" s="49"/>
      <c r="M70" s="49"/>
      <c r="N70" s="49"/>
    </row>
    <row r="71" spans="1:14" s="7" customFormat="1" ht="20" customHeight="1" x14ac:dyDescent="0.2">
      <c r="A71" s="77"/>
      <c r="B71" s="82"/>
      <c r="C71" s="78"/>
      <c r="D71" s="78"/>
      <c r="E71" s="78"/>
      <c r="F71" s="78"/>
      <c r="G71" s="78"/>
      <c r="H71" s="79"/>
      <c r="K71" s="49"/>
      <c r="L71" s="49"/>
      <c r="M71" s="49"/>
      <c r="N71" s="49"/>
    </row>
    <row r="72" spans="1:14" s="7" customFormat="1" ht="20" customHeight="1" x14ac:dyDescent="0.2">
      <c r="A72" s="71"/>
      <c r="B72" s="81"/>
      <c r="C72" s="72"/>
      <c r="D72" s="72"/>
      <c r="E72" s="72"/>
      <c r="F72" s="72"/>
      <c r="G72" s="72"/>
      <c r="H72" s="73"/>
      <c r="K72" s="49"/>
      <c r="L72" s="49"/>
      <c r="M72" s="49"/>
      <c r="N72" s="49"/>
    </row>
    <row r="73" spans="1:14" s="7" customFormat="1" ht="20" customHeight="1" x14ac:dyDescent="0.2">
      <c r="A73" s="77"/>
      <c r="B73" s="82"/>
      <c r="C73" s="78"/>
      <c r="D73" s="78"/>
      <c r="E73" s="78"/>
      <c r="F73" s="78"/>
      <c r="G73" s="78"/>
      <c r="H73" s="79"/>
      <c r="K73" s="49"/>
      <c r="L73" s="49"/>
      <c r="M73" s="49"/>
      <c r="N73" s="49"/>
    </row>
    <row r="74" spans="1:14" s="7" customFormat="1" ht="20" customHeight="1" x14ac:dyDescent="0.2">
      <c r="A74" s="71"/>
      <c r="B74" s="81"/>
      <c r="C74" s="72"/>
      <c r="D74" s="72"/>
      <c r="E74" s="72"/>
      <c r="F74" s="72"/>
      <c r="G74" s="72"/>
      <c r="H74" s="73"/>
      <c r="K74" s="49"/>
      <c r="L74" s="49"/>
      <c r="M74" s="49"/>
      <c r="N74" s="49"/>
    </row>
    <row r="75" spans="1:14" s="7" customFormat="1" ht="20" customHeight="1" x14ac:dyDescent="0.2">
      <c r="A75" s="77"/>
      <c r="B75" s="82"/>
      <c r="C75" s="78"/>
      <c r="D75" s="78"/>
      <c r="E75" s="78"/>
      <c r="F75" s="78"/>
      <c r="G75" s="78"/>
      <c r="H75" s="79"/>
      <c r="K75" s="49"/>
      <c r="L75" s="49"/>
      <c r="M75" s="49"/>
      <c r="N75" s="49"/>
    </row>
    <row r="76" spans="1:14" s="7" customFormat="1" ht="20" customHeight="1" x14ac:dyDescent="0.2">
      <c r="A76" s="71"/>
      <c r="B76" s="81"/>
      <c r="C76" s="72"/>
      <c r="D76" s="72"/>
      <c r="E76" s="72"/>
      <c r="F76" s="72"/>
      <c r="G76" s="72"/>
      <c r="H76" s="73"/>
      <c r="K76" s="49"/>
      <c r="L76" s="49"/>
      <c r="M76" s="49"/>
      <c r="N76" s="49"/>
    </row>
    <row r="77" spans="1:14" s="7" customFormat="1" ht="20" customHeight="1" x14ac:dyDescent="0.2">
      <c r="A77" s="77"/>
      <c r="B77" s="82"/>
      <c r="C77" s="78"/>
      <c r="D77" s="78"/>
      <c r="E77" s="78"/>
      <c r="F77" s="78"/>
      <c r="G77" s="78"/>
      <c r="H77" s="79"/>
      <c r="K77" s="49"/>
      <c r="L77" s="49"/>
      <c r="M77" s="49"/>
      <c r="N77" s="49"/>
    </row>
    <row r="78" spans="1:14" s="7" customFormat="1" ht="20" customHeight="1" x14ac:dyDescent="0.2">
      <c r="A78" s="71"/>
      <c r="B78" s="81"/>
      <c r="C78" s="72"/>
      <c r="D78" s="72"/>
      <c r="E78" s="72"/>
      <c r="F78" s="72"/>
      <c r="G78" s="72"/>
      <c r="H78" s="73"/>
      <c r="K78" s="49"/>
      <c r="L78" s="49"/>
      <c r="M78" s="49"/>
      <c r="N78" s="49"/>
    </row>
    <row r="79" spans="1:14" s="7" customFormat="1" ht="20" customHeight="1" x14ac:dyDescent="0.2">
      <c r="A79" s="77"/>
      <c r="B79" s="82"/>
      <c r="C79" s="78"/>
      <c r="D79" s="78"/>
      <c r="E79" s="78"/>
      <c r="F79" s="78"/>
      <c r="G79" s="78"/>
      <c r="H79" s="79"/>
      <c r="K79" s="49"/>
      <c r="L79" s="49"/>
      <c r="M79" s="49"/>
      <c r="N79" s="49"/>
    </row>
    <row r="80" spans="1:14" s="7" customFormat="1" ht="20" customHeight="1" x14ac:dyDescent="0.2">
      <c r="A80" s="71"/>
      <c r="B80" s="81"/>
      <c r="C80" s="72"/>
      <c r="D80" s="72"/>
      <c r="E80" s="72"/>
      <c r="F80" s="72"/>
      <c r="G80" s="72"/>
      <c r="H80" s="73"/>
      <c r="K80" s="49"/>
      <c r="L80" s="49"/>
      <c r="M80" s="49"/>
      <c r="N80" s="49"/>
    </row>
    <row r="81" spans="1:14" s="7" customFormat="1" ht="20" customHeight="1" x14ac:dyDescent="0.2">
      <c r="A81" s="77"/>
      <c r="B81" s="82"/>
      <c r="C81" s="78"/>
      <c r="D81" s="78"/>
      <c r="E81" s="78"/>
      <c r="F81" s="78"/>
      <c r="G81" s="78"/>
      <c r="H81" s="79"/>
      <c r="K81" s="49"/>
      <c r="L81" s="49"/>
      <c r="M81" s="49"/>
      <c r="N81" s="49"/>
    </row>
    <row r="82" spans="1:14" s="7" customFormat="1" ht="20" customHeight="1" x14ac:dyDescent="0.2">
      <c r="A82" s="71"/>
      <c r="B82" s="81"/>
      <c r="C82" s="72"/>
      <c r="D82" s="72"/>
      <c r="E82" s="72"/>
      <c r="F82" s="72"/>
      <c r="G82" s="72"/>
      <c r="H82" s="73"/>
      <c r="K82" s="49"/>
      <c r="L82" s="49"/>
      <c r="M82" s="49"/>
      <c r="N82" s="49"/>
    </row>
    <row r="83" spans="1:14" s="7" customFormat="1" ht="20" customHeight="1" x14ac:dyDescent="0.2">
      <c r="A83" s="77"/>
      <c r="B83" s="82"/>
      <c r="C83" s="78"/>
      <c r="D83" s="78"/>
      <c r="E83" s="78"/>
      <c r="F83" s="78"/>
      <c r="G83" s="78"/>
      <c r="H83" s="79"/>
      <c r="K83" s="49"/>
      <c r="L83" s="49"/>
      <c r="M83" s="49"/>
      <c r="N83" s="49"/>
    </row>
    <row r="84" spans="1:14" s="7" customFormat="1" ht="20" customHeight="1" x14ac:dyDescent="0.2">
      <c r="A84" s="71"/>
      <c r="B84" s="81"/>
      <c r="C84" s="72"/>
      <c r="D84" s="72"/>
      <c r="E84" s="72"/>
      <c r="F84" s="72"/>
      <c r="G84" s="72"/>
      <c r="H84" s="73"/>
      <c r="K84" s="49"/>
      <c r="L84" s="49"/>
      <c r="M84" s="49"/>
      <c r="N84" s="49"/>
    </row>
    <row r="85" spans="1:14" s="7" customFormat="1" ht="20" customHeight="1" x14ac:dyDescent="0.2">
      <c r="A85" s="77"/>
      <c r="B85" s="82"/>
      <c r="C85" s="78"/>
      <c r="D85" s="78"/>
      <c r="E85" s="78"/>
      <c r="F85" s="78"/>
      <c r="G85" s="78"/>
      <c r="H85" s="79"/>
      <c r="K85" s="49"/>
      <c r="L85" s="49"/>
      <c r="M85" s="49"/>
      <c r="N85" s="49"/>
    </row>
    <row r="86" spans="1:14" s="7" customFormat="1" ht="20" customHeight="1" x14ac:dyDescent="0.2">
      <c r="A86" s="71"/>
      <c r="B86" s="81"/>
      <c r="C86" s="72"/>
      <c r="D86" s="72"/>
      <c r="E86" s="72"/>
      <c r="F86" s="72"/>
      <c r="G86" s="72"/>
      <c r="H86" s="73"/>
      <c r="K86" s="49"/>
      <c r="L86" s="49"/>
      <c r="M86" s="49"/>
      <c r="N86" s="49"/>
    </row>
    <row r="87" spans="1:14" s="7" customFormat="1" ht="20" customHeight="1" x14ac:dyDescent="0.2">
      <c r="A87" s="77"/>
      <c r="B87" s="82"/>
      <c r="C87" s="78"/>
      <c r="D87" s="78"/>
      <c r="E87" s="78"/>
      <c r="F87" s="78"/>
      <c r="G87" s="78"/>
      <c r="H87" s="79"/>
      <c r="K87" s="49"/>
      <c r="L87" s="49"/>
      <c r="M87" s="49"/>
      <c r="N87" s="49"/>
    </row>
    <row r="88" spans="1:14" s="7" customFormat="1" ht="20" customHeight="1" x14ac:dyDescent="0.2">
      <c r="A88" s="71"/>
      <c r="B88" s="81"/>
      <c r="C88" s="72"/>
      <c r="D88" s="72"/>
      <c r="E88" s="72"/>
      <c r="F88" s="72"/>
      <c r="G88" s="72"/>
      <c r="H88" s="73"/>
      <c r="K88" s="49"/>
      <c r="L88" s="49"/>
      <c r="M88" s="49"/>
      <c r="N88" s="49"/>
    </row>
    <row r="89" spans="1:14" s="7" customFormat="1" ht="20" customHeight="1" x14ac:dyDescent="0.2">
      <c r="A89" s="77"/>
      <c r="B89" s="82"/>
      <c r="C89" s="78"/>
      <c r="D89" s="78"/>
      <c r="E89" s="78"/>
      <c r="F89" s="78"/>
      <c r="G89" s="78"/>
      <c r="H89" s="79"/>
      <c r="K89" s="49"/>
      <c r="L89" s="49"/>
      <c r="M89" s="49"/>
      <c r="N89" s="49"/>
    </row>
    <row r="90" spans="1:14" s="7" customFormat="1" ht="20" customHeight="1" x14ac:dyDescent="0.2">
      <c r="A90" s="71"/>
      <c r="B90" s="81"/>
      <c r="C90" s="72"/>
      <c r="D90" s="72"/>
      <c r="E90" s="72"/>
      <c r="F90" s="72"/>
      <c r="G90" s="72"/>
      <c r="H90" s="73"/>
      <c r="K90" s="49"/>
      <c r="L90" s="49"/>
      <c r="M90" s="49"/>
      <c r="N90" s="49"/>
    </row>
    <row r="91" spans="1:14" s="7" customFormat="1" ht="20" customHeight="1" x14ac:dyDescent="0.2">
      <c r="A91" s="77"/>
      <c r="B91" s="82"/>
      <c r="C91" s="78"/>
      <c r="D91" s="78"/>
      <c r="E91" s="78"/>
      <c r="F91" s="78"/>
      <c r="G91" s="78"/>
      <c r="H91" s="79"/>
      <c r="K91" s="49"/>
      <c r="L91" s="49"/>
      <c r="M91" s="49"/>
      <c r="N91" s="49"/>
    </row>
    <row r="92" spans="1:14" s="7" customFormat="1" ht="20" customHeight="1" x14ac:dyDescent="0.2">
      <c r="A92" s="71"/>
      <c r="B92" s="81"/>
      <c r="C92" s="72"/>
      <c r="D92" s="72"/>
      <c r="E92" s="72"/>
      <c r="F92" s="72"/>
      <c r="G92" s="72"/>
      <c r="H92" s="73"/>
      <c r="K92" s="49"/>
      <c r="L92" s="49"/>
      <c r="M92" s="49"/>
      <c r="N92" s="49"/>
    </row>
    <row r="93" spans="1:14" s="7" customFormat="1" ht="20" customHeight="1" x14ac:dyDescent="0.2">
      <c r="A93" s="77"/>
      <c r="B93" s="82"/>
      <c r="C93" s="78"/>
      <c r="D93" s="78"/>
      <c r="E93" s="78"/>
      <c r="F93" s="78"/>
      <c r="G93" s="78"/>
      <c r="H93" s="79"/>
      <c r="K93" s="49"/>
      <c r="L93" s="49"/>
      <c r="M93" s="49"/>
      <c r="N93" s="49"/>
    </row>
    <row r="94" spans="1:14" ht="20" customHeight="1" x14ac:dyDescent="0.2">
      <c r="A94" s="71"/>
      <c r="B94" s="81"/>
      <c r="C94" s="72"/>
      <c r="D94" s="72"/>
      <c r="E94" s="72"/>
      <c r="F94" s="72"/>
      <c r="G94" s="72"/>
      <c r="H94" s="73"/>
      <c r="K94" s="49"/>
      <c r="L94" s="49"/>
      <c r="M94" s="49"/>
      <c r="N94" s="49"/>
    </row>
    <row r="95" spans="1:14" ht="20" customHeight="1" x14ac:dyDescent="0.2">
      <c r="A95" s="77"/>
      <c r="B95" s="82"/>
      <c r="C95" s="78"/>
      <c r="D95" s="78"/>
      <c r="E95" s="78"/>
      <c r="F95" s="78"/>
      <c r="G95" s="78"/>
      <c r="H95" s="79"/>
      <c r="K95" s="49"/>
      <c r="L95" s="49"/>
      <c r="M95" s="49"/>
      <c r="N95" s="49"/>
    </row>
    <row r="96" spans="1:14" ht="20" customHeight="1" x14ac:dyDescent="0.2">
      <c r="A96" s="71"/>
      <c r="B96" s="81"/>
      <c r="C96" s="72"/>
      <c r="D96" s="72"/>
      <c r="E96" s="72"/>
      <c r="F96" s="72"/>
      <c r="G96" s="72"/>
      <c r="H96" s="73"/>
      <c r="K96" s="49"/>
      <c r="L96" s="49"/>
      <c r="M96" s="49"/>
      <c r="N96" s="49"/>
    </row>
    <row r="97" spans="1:14" ht="20" customHeight="1" x14ac:dyDescent="0.2">
      <c r="A97" s="77"/>
      <c r="B97" s="82"/>
      <c r="C97" s="78"/>
      <c r="D97" s="78"/>
      <c r="E97" s="78"/>
      <c r="F97" s="78"/>
      <c r="G97" s="78"/>
      <c r="H97" s="79"/>
      <c r="K97" s="49"/>
      <c r="L97" s="49"/>
      <c r="M97" s="49"/>
      <c r="N97" s="49"/>
    </row>
    <row r="98" spans="1:14" ht="20" customHeight="1" x14ac:dyDescent="0.2">
      <c r="A98" s="71"/>
      <c r="B98" s="81"/>
      <c r="C98" s="72"/>
      <c r="D98" s="72"/>
      <c r="E98" s="72"/>
      <c r="F98" s="72"/>
      <c r="G98" s="72"/>
      <c r="H98" s="73"/>
      <c r="K98" s="49"/>
      <c r="L98" s="49"/>
      <c r="M98" s="49"/>
      <c r="N98" s="49"/>
    </row>
    <row r="99" spans="1:14" ht="20" customHeight="1" x14ac:dyDescent="0.2">
      <c r="A99" s="77"/>
      <c r="B99" s="82"/>
      <c r="C99" s="78"/>
      <c r="D99" s="78"/>
      <c r="E99" s="78"/>
      <c r="F99" s="78"/>
      <c r="G99" s="78"/>
      <c r="H99" s="79"/>
      <c r="K99" s="49"/>
      <c r="L99" s="49"/>
      <c r="M99" s="49"/>
      <c r="N99" s="49"/>
    </row>
    <row r="100" spans="1:14" ht="20" customHeight="1" x14ac:dyDescent="0.2">
      <c r="A100" s="71"/>
      <c r="B100" s="81"/>
      <c r="C100" s="72"/>
      <c r="D100" s="72"/>
      <c r="E100" s="72"/>
      <c r="F100" s="72"/>
      <c r="G100" s="72"/>
      <c r="H100" s="73"/>
      <c r="K100" s="49"/>
      <c r="L100" s="49"/>
      <c r="M100" s="49"/>
      <c r="N100" s="49"/>
    </row>
    <row r="101" spans="1:14" ht="20" customHeight="1" x14ac:dyDescent="0.2">
      <c r="A101" s="77"/>
      <c r="B101" s="82"/>
      <c r="C101" s="78"/>
      <c r="D101" s="78"/>
      <c r="E101" s="78"/>
      <c r="F101" s="78"/>
      <c r="G101" s="78"/>
      <c r="H101" s="79"/>
      <c r="K101" s="49"/>
      <c r="L101" s="49"/>
      <c r="M101" s="49"/>
      <c r="N101" s="49"/>
    </row>
    <row r="102" spans="1:14" ht="20" customHeight="1" x14ac:dyDescent="0.2">
      <c r="A102" s="71"/>
      <c r="B102" s="81"/>
      <c r="C102" s="72"/>
      <c r="D102" s="72"/>
      <c r="E102" s="72"/>
      <c r="F102" s="72"/>
      <c r="G102" s="72"/>
      <c r="H102" s="73"/>
      <c r="K102" s="49"/>
      <c r="L102" s="49"/>
      <c r="M102" s="49"/>
      <c r="N102" s="49"/>
    </row>
    <row r="103" spans="1:14" ht="20" customHeight="1" x14ac:dyDescent="0.2">
      <c r="A103" s="77"/>
      <c r="B103" s="82"/>
      <c r="C103" s="78"/>
      <c r="D103" s="78"/>
      <c r="E103" s="78"/>
      <c r="F103" s="78"/>
      <c r="G103" s="78"/>
      <c r="H103" s="79"/>
      <c r="K103" s="49"/>
      <c r="L103" s="49"/>
      <c r="M103" s="49"/>
      <c r="N103" s="49"/>
    </row>
    <row r="104" spans="1:14" ht="20" customHeight="1" x14ac:dyDescent="0.2">
      <c r="A104" s="71"/>
      <c r="B104" s="81"/>
      <c r="C104" s="72"/>
      <c r="D104" s="72"/>
      <c r="E104" s="72"/>
      <c r="F104" s="72"/>
      <c r="G104" s="72"/>
      <c r="H104" s="73"/>
      <c r="K104" s="49"/>
      <c r="L104" s="49"/>
      <c r="M104" s="49"/>
      <c r="N104" s="49"/>
    </row>
    <row r="105" spans="1:14" ht="20" customHeight="1" x14ac:dyDescent="0.2">
      <c r="A105" s="77"/>
      <c r="B105" s="82"/>
      <c r="C105" s="78"/>
      <c r="D105" s="78"/>
      <c r="E105" s="78"/>
      <c r="F105" s="78"/>
      <c r="G105" s="78"/>
      <c r="H105" s="79"/>
      <c r="K105" s="49"/>
      <c r="L105" s="49"/>
      <c r="M105" s="49"/>
      <c r="N105" s="49"/>
    </row>
    <row r="106" spans="1:14" ht="20" customHeight="1" x14ac:dyDescent="0.2">
      <c r="A106" s="71"/>
      <c r="B106" s="81"/>
      <c r="C106" s="72"/>
      <c r="D106" s="72"/>
      <c r="E106" s="72"/>
      <c r="F106" s="72"/>
      <c r="G106" s="72"/>
      <c r="H106" s="73"/>
      <c r="K106" s="49"/>
      <c r="L106" s="49"/>
      <c r="M106" s="49"/>
      <c r="N106" s="49"/>
    </row>
    <row r="107" spans="1:14" ht="20" customHeight="1" x14ac:dyDescent="0.2">
      <c r="A107" s="77"/>
      <c r="B107" s="82"/>
      <c r="C107" s="78"/>
      <c r="D107" s="78"/>
      <c r="E107" s="78"/>
      <c r="F107" s="78"/>
      <c r="G107" s="78"/>
      <c r="H107" s="79"/>
      <c r="K107" s="49"/>
      <c r="L107" s="49"/>
      <c r="M107" s="49"/>
      <c r="N107" s="49"/>
    </row>
    <row r="108" spans="1:14" ht="20" customHeight="1" x14ac:dyDescent="0.2">
      <c r="A108" s="71"/>
      <c r="B108" s="81"/>
      <c r="C108" s="72"/>
      <c r="D108" s="72"/>
      <c r="E108" s="72"/>
      <c r="F108" s="72"/>
      <c r="G108" s="72"/>
      <c r="H108" s="73"/>
      <c r="K108" s="49"/>
      <c r="L108" s="49"/>
      <c r="M108" s="49"/>
      <c r="N108" s="49"/>
    </row>
    <row r="109" spans="1:14" ht="20" customHeight="1" x14ac:dyDescent="0.2">
      <c r="A109" s="77"/>
      <c r="B109" s="82"/>
      <c r="C109" s="78"/>
      <c r="D109" s="78"/>
      <c r="E109" s="78"/>
      <c r="F109" s="78"/>
      <c r="G109" s="78"/>
      <c r="H109" s="79"/>
      <c r="K109" s="49"/>
      <c r="L109" s="49"/>
      <c r="M109" s="49"/>
      <c r="N109" s="49"/>
    </row>
    <row r="110" spans="1:14" ht="20" customHeight="1" x14ac:dyDescent="0.2">
      <c r="A110" s="71"/>
      <c r="B110" s="81"/>
      <c r="C110" s="72"/>
      <c r="D110" s="72"/>
      <c r="E110" s="72"/>
      <c r="F110" s="72"/>
      <c r="G110" s="72"/>
      <c r="H110" s="73"/>
      <c r="K110" s="49"/>
      <c r="L110" s="49"/>
      <c r="M110" s="49"/>
      <c r="N110" s="49"/>
    </row>
    <row r="111" spans="1:14" ht="20" customHeight="1" x14ac:dyDescent="0.2">
      <c r="A111" s="77"/>
      <c r="B111" s="82"/>
      <c r="C111" s="78"/>
      <c r="D111" s="78"/>
      <c r="E111" s="78"/>
      <c r="F111" s="78"/>
      <c r="G111" s="78"/>
      <c r="H111" s="79"/>
      <c r="K111" s="49"/>
      <c r="L111" s="49"/>
      <c r="M111" s="49"/>
      <c r="N111" s="49"/>
    </row>
    <row r="112" spans="1:14" ht="20" customHeight="1" x14ac:dyDescent="0.2">
      <c r="A112" s="71"/>
      <c r="B112" s="81"/>
      <c r="C112" s="72"/>
      <c r="D112" s="72"/>
      <c r="E112" s="72"/>
      <c r="F112" s="72"/>
      <c r="G112" s="72"/>
      <c r="H112" s="73"/>
      <c r="K112" s="49"/>
      <c r="L112" s="49"/>
      <c r="M112" s="49"/>
      <c r="N112" s="49"/>
    </row>
    <row r="113" spans="1:14" ht="20" customHeight="1" x14ac:dyDescent="0.2">
      <c r="A113" s="77"/>
      <c r="B113" s="82"/>
      <c r="C113" s="78"/>
      <c r="D113" s="78"/>
      <c r="E113" s="78"/>
      <c r="F113" s="78"/>
      <c r="G113" s="78"/>
      <c r="H113" s="79"/>
      <c r="K113" s="49"/>
      <c r="L113" s="49"/>
      <c r="M113" s="49"/>
      <c r="N113" s="49"/>
    </row>
    <row r="114" spans="1:14" ht="20" customHeight="1" x14ac:dyDescent="0.2">
      <c r="A114" s="71"/>
      <c r="B114" s="81"/>
      <c r="C114" s="72"/>
      <c r="D114" s="72"/>
      <c r="E114" s="72"/>
      <c r="F114" s="72"/>
      <c r="G114" s="72"/>
      <c r="H114" s="73"/>
      <c r="K114" s="49"/>
      <c r="L114" s="49"/>
      <c r="M114" s="49"/>
      <c r="N114" s="49"/>
    </row>
    <row r="115" spans="1:14" ht="20" customHeight="1" x14ac:dyDescent="0.2">
      <c r="A115" s="77"/>
      <c r="B115" s="82"/>
      <c r="C115" s="78"/>
      <c r="D115" s="78"/>
      <c r="E115" s="78"/>
      <c r="F115" s="78"/>
      <c r="G115" s="78"/>
      <c r="H115" s="79"/>
      <c r="K115" s="49"/>
      <c r="L115" s="49"/>
      <c r="M115" s="49"/>
      <c r="N115" s="49"/>
    </row>
    <row r="116" spans="1:14" ht="20" customHeight="1" x14ac:dyDescent="0.2">
      <c r="A116" s="71"/>
      <c r="B116" s="81"/>
      <c r="C116" s="72"/>
      <c r="D116" s="72"/>
      <c r="E116" s="72"/>
      <c r="F116" s="72"/>
      <c r="G116" s="72"/>
      <c r="H116" s="73"/>
      <c r="K116" s="49"/>
      <c r="L116" s="49"/>
      <c r="M116" s="49"/>
      <c r="N116" s="49"/>
    </row>
    <row r="117" spans="1:14" ht="20" customHeight="1" x14ac:dyDescent="0.2">
      <c r="A117" s="77"/>
      <c r="B117" s="82"/>
      <c r="C117" s="78"/>
      <c r="D117" s="78"/>
      <c r="E117" s="78"/>
      <c r="F117" s="78"/>
      <c r="G117" s="78"/>
      <c r="H117" s="79"/>
      <c r="K117" s="49"/>
      <c r="L117" s="49"/>
      <c r="M117" s="49"/>
      <c r="N117" s="49"/>
    </row>
    <row r="118" spans="1:14" ht="20" customHeight="1" x14ac:dyDescent="0.2">
      <c r="A118" s="71"/>
      <c r="B118" s="81"/>
      <c r="C118" s="72"/>
      <c r="D118" s="72"/>
      <c r="E118" s="72"/>
      <c r="F118" s="72"/>
      <c r="G118" s="72"/>
      <c r="H118" s="73"/>
      <c r="K118" s="49"/>
      <c r="L118" s="49"/>
      <c r="M118" s="49"/>
      <c r="N118" s="49"/>
    </row>
    <row r="119" spans="1:14" ht="20" customHeight="1" x14ac:dyDescent="0.2">
      <c r="A119" s="77"/>
      <c r="B119" s="82"/>
      <c r="C119" s="78"/>
      <c r="D119" s="78"/>
      <c r="E119" s="78"/>
      <c r="F119" s="78"/>
      <c r="G119" s="78"/>
      <c r="H119" s="79"/>
      <c r="K119" s="49"/>
      <c r="L119" s="49"/>
      <c r="M119" s="49"/>
      <c r="N119" s="49"/>
    </row>
    <row r="120" spans="1:14" ht="20" customHeight="1" x14ac:dyDescent="0.2">
      <c r="A120" s="71"/>
      <c r="B120" s="81"/>
      <c r="C120" s="72"/>
      <c r="D120" s="72"/>
      <c r="E120" s="72"/>
      <c r="F120" s="72"/>
      <c r="G120" s="72"/>
      <c r="H120" s="73"/>
      <c r="K120" s="49"/>
      <c r="L120" s="49"/>
      <c r="M120" s="49"/>
      <c r="N120" s="49"/>
    </row>
    <row r="121" spans="1:14" ht="20" customHeight="1" x14ac:dyDescent="0.2">
      <c r="A121" s="77"/>
      <c r="B121" s="82"/>
      <c r="C121" s="78"/>
      <c r="D121" s="78"/>
      <c r="E121" s="78"/>
      <c r="F121" s="78"/>
      <c r="G121" s="78"/>
      <c r="H121" s="79"/>
    </row>
    <row r="122" spans="1:14" ht="20" customHeight="1" x14ac:dyDescent="0.2">
      <c r="A122" s="71"/>
      <c r="B122" s="81"/>
      <c r="C122" s="72"/>
      <c r="D122" s="72"/>
      <c r="E122" s="72"/>
      <c r="F122" s="72"/>
      <c r="G122" s="72"/>
      <c r="H122" s="73"/>
    </row>
    <row r="123" spans="1:14" ht="20" customHeight="1" x14ac:dyDescent="0.2">
      <c r="A123" s="77"/>
      <c r="B123" s="82"/>
      <c r="C123" s="78"/>
      <c r="D123" s="78"/>
      <c r="E123" s="78"/>
      <c r="F123" s="78"/>
      <c r="G123" s="78"/>
      <c r="H123" s="79"/>
    </row>
    <row r="124" spans="1:14" ht="20" customHeight="1" x14ac:dyDescent="0.2">
      <c r="A124" s="71"/>
      <c r="B124" s="81"/>
      <c r="C124" s="72"/>
      <c r="D124" s="72"/>
      <c r="E124" s="72"/>
      <c r="F124" s="72"/>
      <c r="G124" s="72"/>
      <c r="H124" s="73"/>
    </row>
    <row r="125" spans="1:14" ht="20" customHeight="1" x14ac:dyDescent="0.2">
      <c r="A125" s="77"/>
      <c r="B125" s="82"/>
      <c r="C125" s="78"/>
      <c r="D125" s="78"/>
      <c r="E125" s="78"/>
      <c r="F125" s="78"/>
      <c r="G125" s="78"/>
      <c r="H125" s="79"/>
    </row>
    <row r="126" spans="1:14" ht="20" customHeight="1" x14ac:dyDescent="0.2">
      <c r="A126" s="71"/>
      <c r="B126" s="81"/>
      <c r="C126" s="72"/>
      <c r="D126" s="72"/>
      <c r="E126" s="72"/>
      <c r="F126" s="72"/>
      <c r="G126" s="72"/>
      <c r="H126" s="73"/>
    </row>
    <row r="127" spans="1:14" ht="20" customHeight="1" x14ac:dyDescent="0.2">
      <c r="A127" s="77"/>
      <c r="B127" s="82"/>
      <c r="C127" s="78"/>
      <c r="D127" s="78"/>
      <c r="E127" s="78"/>
      <c r="F127" s="78"/>
      <c r="G127" s="78"/>
      <c r="H127" s="79"/>
    </row>
    <row r="128" spans="1:14" ht="20" customHeight="1" x14ac:dyDescent="0.2">
      <c r="A128" s="71"/>
      <c r="B128" s="81"/>
      <c r="C128" s="72"/>
      <c r="D128" s="72"/>
      <c r="E128" s="72"/>
      <c r="F128" s="72"/>
      <c r="G128" s="72"/>
      <c r="H128" s="73"/>
    </row>
    <row r="129" spans="1:8" ht="20" customHeight="1" x14ac:dyDescent="0.2">
      <c r="A129" s="77"/>
      <c r="B129" s="82"/>
      <c r="C129" s="78"/>
      <c r="D129" s="78"/>
      <c r="E129" s="78"/>
      <c r="F129" s="78"/>
      <c r="G129" s="78"/>
      <c r="H129" s="79"/>
    </row>
    <row r="130" spans="1:8" ht="20" customHeight="1" x14ac:dyDescent="0.2">
      <c r="A130" s="71"/>
      <c r="B130" s="81"/>
      <c r="C130" s="72"/>
      <c r="D130" s="72"/>
      <c r="E130" s="72"/>
      <c r="F130" s="72"/>
      <c r="G130" s="72"/>
      <c r="H130" s="73"/>
    </row>
    <row r="131" spans="1:8" ht="20" customHeight="1" x14ac:dyDescent="0.2">
      <c r="A131" s="77"/>
      <c r="B131" s="82"/>
      <c r="C131" s="78"/>
      <c r="D131" s="78"/>
      <c r="E131" s="78"/>
      <c r="F131" s="78"/>
      <c r="G131" s="78"/>
      <c r="H131" s="79"/>
    </row>
    <row r="132" spans="1:8" ht="20" customHeight="1" x14ac:dyDescent="0.2">
      <c r="A132" s="71"/>
      <c r="B132" s="81"/>
      <c r="C132" s="72"/>
      <c r="D132" s="72"/>
      <c r="E132" s="72"/>
      <c r="F132" s="72"/>
      <c r="G132" s="72"/>
      <c r="H132" s="73"/>
    </row>
    <row r="133" spans="1:8" ht="20" customHeight="1" x14ac:dyDescent="0.2">
      <c r="A133" s="77"/>
      <c r="B133" s="82"/>
      <c r="C133" s="78"/>
      <c r="D133" s="78"/>
      <c r="E133" s="78"/>
      <c r="F133" s="78"/>
      <c r="G133" s="78"/>
      <c r="H133" s="79"/>
    </row>
    <row r="134" spans="1:8" ht="20" customHeight="1" x14ac:dyDescent="0.2">
      <c r="A134" s="71"/>
      <c r="B134" s="81"/>
      <c r="C134" s="72"/>
      <c r="D134" s="72"/>
      <c r="E134" s="72"/>
      <c r="F134" s="72"/>
      <c r="G134" s="72"/>
      <c r="H134" s="73"/>
    </row>
    <row r="135" spans="1:8" ht="20" customHeight="1" x14ac:dyDescent="0.2">
      <c r="A135" s="77"/>
      <c r="B135" s="82"/>
      <c r="C135" s="78"/>
      <c r="D135" s="78"/>
      <c r="E135" s="78"/>
      <c r="F135" s="78"/>
      <c r="G135" s="78"/>
      <c r="H135" s="79"/>
    </row>
    <row r="136" spans="1:8" ht="20" customHeight="1" x14ac:dyDescent="0.2">
      <c r="A136" s="71"/>
      <c r="B136" s="81"/>
      <c r="C136" s="72"/>
      <c r="D136" s="72"/>
      <c r="E136" s="72"/>
      <c r="F136" s="72"/>
      <c r="G136" s="72"/>
      <c r="H136" s="73"/>
    </row>
    <row r="137" spans="1:8" ht="20" customHeight="1" x14ac:dyDescent="0.2">
      <c r="A137" s="77"/>
      <c r="B137" s="82"/>
      <c r="C137" s="78"/>
      <c r="D137" s="78"/>
      <c r="E137" s="78"/>
      <c r="F137" s="78"/>
      <c r="G137" s="78"/>
      <c r="H137" s="79"/>
    </row>
    <row r="138" spans="1:8" ht="20" customHeight="1" x14ac:dyDescent="0.2">
      <c r="A138" s="71"/>
      <c r="B138" s="81"/>
      <c r="C138" s="72"/>
      <c r="D138" s="72"/>
      <c r="E138" s="72"/>
      <c r="F138" s="72"/>
      <c r="G138" s="72"/>
      <c r="H138" s="73"/>
    </row>
    <row r="139" spans="1:8" ht="20" customHeight="1" x14ac:dyDescent="0.2">
      <c r="A139" s="77"/>
      <c r="B139" s="82"/>
      <c r="C139" s="78"/>
      <c r="D139" s="78"/>
      <c r="E139" s="78"/>
      <c r="F139" s="78"/>
      <c r="G139" s="78"/>
      <c r="H139" s="79"/>
    </row>
    <row r="140" spans="1:8" ht="20" customHeight="1" x14ac:dyDescent="0.2">
      <c r="A140" s="71"/>
      <c r="B140" s="81"/>
      <c r="C140" s="72"/>
      <c r="D140" s="72"/>
      <c r="E140" s="72"/>
      <c r="F140" s="72"/>
      <c r="G140" s="72"/>
      <c r="H140" s="73"/>
    </row>
    <row r="141" spans="1:8" ht="20" customHeight="1" x14ac:dyDescent="0.2">
      <c r="A141" s="77"/>
      <c r="B141" s="82"/>
      <c r="C141" s="78"/>
      <c r="D141" s="78"/>
      <c r="E141" s="78"/>
      <c r="F141" s="78"/>
      <c r="G141" s="78"/>
      <c r="H141" s="79"/>
    </row>
    <row r="142" spans="1:8" ht="20" customHeight="1" x14ac:dyDescent="0.2">
      <c r="A142" s="71"/>
      <c r="B142" s="81"/>
      <c r="C142" s="72"/>
      <c r="D142" s="72"/>
      <c r="E142" s="72"/>
      <c r="F142" s="72"/>
      <c r="G142" s="72"/>
      <c r="H142" s="73"/>
    </row>
    <row r="143" spans="1:8" ht="20" customHeight="1" x14ac:dyDescent="0.2">
      <c r="A143" s="77"/>
      <c r="B143" s="82"/>
      <c r="C143" s="78"/>
      <c r="D143" s="78"/>
      <c r="E143" s="78"/>
      <c r="F143" s="78"/>
      <c r="G143" s="78"/>
      <c r="H143" s="79"/>
    </row>
    <row r="144" spans="1:8" ht="20" customHeight="1" x14ac:dyDescent="0.2">
      <c r="A144" s="71"/>
      <c r="B144" s="81"/>
      <c r="C144" s="72"/>
      <c r="D144" s="72"/>
      <c r="E144" s="72"/>
      <c r="F144" s="72"/>
      <c r="G144" s="72"/>
      <c r="H144" s="73"/>
    </row>
    <row r="145" spans="1:8" ht="20" customHeight="1" x14ac:dyDescent="0.2">
      <c r="A145" s="77"/>
      <c r="B145" s="82"/>
      <c r="C145" s="78"/>
      <c r="D145" s="78"/>
      <c r="E145" s="78"/>
      <c r="F145" s="78"/>
      <c r="G145" s="78"/>
      <c r="H145" s="79"/>
    </row>
    <row r="146" spans="1:8" ht="20" customHeight="1" x14ac:dyDescent="0.2">
      <c r="A146" s="71"/>
      <c r="B146" s="81"/>
      <c r="C146" s="72"/>
      <c r="D146" s="72"/>
      <c r="E146" s="72"/>
      <c r="F146" s="72"/>
      <c r="G146" s="72"/>
      <c r="H146" s="73"/>
    </row>
    <row r="147" spans="1:8" ht="20" customHeight="1" x14ac:dyDescent="0.2">
      <c r="A147" s="77"/>
      <c r="B147" s="82"/>
      <c r="C147" s="78"/>
      <c r="D147" s="78"/>
      <c r="E147" s="78"/>
      <c r="F147" s="78"/>
      <c r="G147" s="78"/>
      <c r="H147" s="79"/>
    </row>
    <row r="148" spans="1:8" ht="20" customHeight="1" x14ac:dyDescent="0.2">
      <c r="A148" s="71"/>
      <c r="B148" s="81"/>
      <c r="C148" s="72"/>
      <c r="D148" s="72"/>
      <c r="E148" s="72"/>
      <c r="F148" s="72"/>
      <c r="G148" s="72"/>
      <c r="H148" s="73"/>
    </row>
    <row r="149" spans="1:8" ht="20" customHeight="1" x14ac:dyDescent="0.2">
      <c r="A149" s="77"/>
      <c r="B149" s="82"/>
      <c r="C149" s="78"/>
      <c r="D149" s="78"/>
      <c r="E149" s="78"/>
      <c r="F149" s="78"/>
      <c r="G149" s="78"/>
      <c r="H149" s="79"/>
    </row>
    <row r="150" spans="1:8" ht="20" customHeight="1" x14ac:dyDescent="0.2">
      <c r="A150" s="71"/>
      <c r="B150" s="81"/>
      <c r="C150" s="72"/>
      <c r="D150" s="72"/>
      <c r="E150" s="72"/>
      <c r="F150" s="72"/>
      <c r="G150" s="72"/>
      <c r="H150" s="73"/>
    </row>
    <row r="151" spans="1:8" ht="20" customHeight="1" x14ac:dyDescent="0.2">
      <c r="A151" s="77"/>
      <c r="B151" s="82"/>
      <c r="C151" s="78"/>
      <c r="D151" s="78"/>
      <c r="E151" s="78"/>
      <c r="F151" s="78"/>
      <c r="G151" s="78"/>
      <c r="H151" s="79"/>
    </row>
    <row r="152" spans="1:8" ht="20" customHeight="1" x14ac:dyDescent="0.2">
      <c r="A152" s="71"/>
      <c r="B152" s="81"/>
      <c r="C152" s="72"/>
      <c r="D152" s="72"/>
      <c r="E152" s="72"/>
      <c r="F152" s="72"/>
      <c r="G152" s="72"/>
      <c r="H152" s="73"/>
    </row>
    <row r="153" spans="1:8" ht="20" customHeight="1" x14ac:dyDescent="0.2">
      <c r="A153" s="77"/>
      <c r="B153" s="82"/>
      <c r="C153" s="78"/>
      <c r="D153" s="78"/>
      <c r="E153" s="78"/>
      <c r="F153" s="78"/>
      <c r="G153" s="78"/>
      <c r="H153" s="79"/>
    </row>
    <row r="154" spans="1:8" ht="20" customHeight="1" x14ac:dyDescent="0.2">
      <c r="A154" s="71"/>
      <c r="B154" s="81"/>
      <c r="C154" s="72"/>
      <c r="D154" s="72"/>
      <c r="E154" s="72"/>
      <c r="F154" s="72"/>
      <c r="G154" s="72"/>
      <c r="H154" s="73"/>
    </row>
    <row r="155" spans="1:8" ht="20" customHeight="1" x14ac:dyDescent="0.2">
      <c r="A155" s="77"/>
      <c r="B155" s="82"/>
      <c r="C155" s="78"/>
      <c r="D155" s="78"/>
      <c r="E155" s="78"/>
      <c r="F155" s="78"/>
      <c r="G155" s="78"/>
      <c r="H155" s="79"/>
    </row>
    <row r="156" spans="1:8" ht="20" customHeight="1" x14ac:dyDescent="0.2">
      <c r="A156" s="71"/>
      <c r="B156" s="81"/>
      <c r="C156" s="72"/>
      <c r="D156" s="72"/>
      <c r="E156" s="72"/>
      <c r="F156" s="72"/>
      <c r="G156" s="72"/>
      <c r="H156" s="73"/>
    </row>
    <row r="157" spans="1:8" ht="20" customHeight="1" x14ac:dyDescent="0.2">
      <c r="A157" s="77"/>
      <c r="B157" s="82"/>
      <c r="C157" s="78"/>
      <c r="D157" s="78"/>
      <c r="E157" s="78"/>
      <c r="F157" s="78"/>
      <c r="G157" s="78"/>
      <c r="H157" s="79"/>
    </row>
    <row r="158" spans="1:8" ht="20" customHeight="1" x14ac:dyDescent="0.2">
      <c r="A158" s="71"/>
      <c r="B158" s="81"/>
      <c r="C158" s="72"/>
      <c r="D158" s="72"/>
      <c r="E158" s="72"/>
      <c r="F158" s="72"/>
      <c r="G158" s="72"/>
      <c r="H158" s="73"/>
    </row>
    <row r="159" spans="1:8" ht="20" customHeight="1" x14ac:dyDescent="0.2">
      <c r="A159" s="77"/>
      <c r="B159" s="82"/>
      <c r="C159" s="78"/>
      <c r="D159" s="78"/>
      <c r="E159" s="78"/>
      <c r="F159" s="78"/>
      <c r="G159" s="78"/>
      <c r="H159" s="79"/>
    </row>
    <row r="160" spans="1:8" ht="20" customHeight="1" x14ac:dyDescent="0.2">
      <c r="A160" s="71"/>
      <c r="B160" s="81"/>
      <c r="C160" s="72"/>
      <c r="D160" s="72"/>
      <c r="E160" s="72"/>
      <c r="F160" s="72"/>
      <c r="G160" s="72"/>
      <c r="H160" s="73"/>
    </row>
    <row r="161" spans="1:8" ht="20" customHeight="1" x14ac:dyDescent="0.2">
      <c r="A161" s="77"/>
      <c r="B161" s="82"/>
      <c r="C161" s="78"/>
      <c r="D161" s="78"/>
      <c r="E161" s="78"/>
      <c r="F161" s="78"/>
      <c r="G161" s="78"/>
      <c r="H161" s="79"/>
    </row>
    <row r="162" spans="1:8" ht="20" customHeight="1" x14ac:dyDescent="0.2">
      <c r="A162" s="71"/>
      <c r="B162" s="81"/>
      <c r="C162" s="72"/>
      <c r="D162" s="72"/>
      <c r="E162" s="72"/>
      <c r="F162" s="72"/>
      <c r="G162" s="72"/>
      <c r="H162" s="73"/>
    </row>
    <row r="163" spans="1:8" ht="20" customHeight="1" x14ac:dyDescent="0.2">
      <c r="A163" s="77"/>
      <c r="B163" s="82"/>
      <c r="C163" s="78"/>
      <c r="D163" s="78"/>
      <c r="E163" s="78"/>
      <c r="F163" s="78"/>
      <c r="G163" s="78"/>
      <c r="H163" s="79"/>
    </row>
    <row r="164" spans="1:8" ht="20" customHeight="1" x14ac:dyDescent="0.2">
      <c r="A164" s="71"/>
      <c r="B164" s="81"/>
      <c r="C164" s="72"/>
      <c r="D164" s="72"/>
      <c r="E164" s="72"/>
      <c r="F164" s="72"/>
      <c r="G164" s="72"/>
      <c r="H164" s="73"/>
    </row>
    <row r="165" spans="1:8" ht="20" customHeight="1" x14ac:dyDescent="0.2">
      <c r="A165" s="77"/>
      <c r="B165" s="82"/>
      <c r="C165" s="78"/>
      <c r="D165" s="78"/>
      <c r="E165" s="78"/>
      <c r="F165" s="78"/>
      <c r="G165" s="78"/>
      <c r="H165" s="79"/>
    </row>
    <row r="166" spans="1:8" ht="20" customHeight="1" x14ac:dyDescent="0.2">
      <c r="A166" s="71"/>
      <c r="B166" s="81"/>
      <c r="C166" s="72"/>
      <c r="D166" s="72"/>
      <c r="E166" s="72"/>
      <c r="F166" s="72"/>
      <c r="G166" s="72"/>
      <c r="H166" s="73"/>
    </row>
    <row r="167" spans="1:8" ht="20" customHeight="1" x14ac:dyDescent="0.2">
      <c r="A167" s="77"/>
      <c r="B167" s="82"/>
      <c r="C167" s="78"/>
      <c r="D167" s="78"/>
      <c r="E167" s="78"/>
      <c r="F167" s="78"/>
      <c r="G167" s="78"/>
      <c r="H167" s="79"/>
    </row>
    <row r="168" spans="1:8" ht="20" customHeight="1" x14ac:dyDescent="0.2">
      <c r="A168" s="71"/>
      <c r="B168" s="81"/>
      <c r="C168" s="72"/>
      <c r="D168" s="72"/>
      <c r="E168" s="72"/>
      <c r="F168" s="72"/>
      <c r="G168" s="72"/>
      <c r="H168" s="73"/>
    </row>
    <row r="169" spans="1:8" ht="20" customHeight="1" x14ac:dyDescent="0.2">
      <c r="A169" s="77"/>
      <c r="B169" s="82"/>
      <c r="C169" s="78"/>
      <c r="D169" s="78"/>
      <c r="E169" s="78"/>
      <c r="F169" s="78"/>
      <c r="G169" s="78"/>
      <c r="H169" s="79"/>
    </row>
    <row r="170" spans="1:8" ht="20" customHeight="1" x14ac:dyDescent="0.2">
      <c r="A170" s="71"/>
      <c r="B170" s="81"/>
      <c r="C170" s="72"/>
      <c r="D170" s="72"/>
      <c r="E170" s="72"/>
      <c r="F170" s="72"/>
      <c r="G170" s="72"/>
      <c r="H170" s="73"/>
    </row>
    <row r="171" spans="1:8" ht="20" customHeight="1" x14ac:dyDescent="0.2">
      <c r="A171" s="77"/>
      <c r="B171" s="82"/>
      <c r="C171" s="78"/>
      <c r="D171" s="78"/>
      <c r="E171" s="78"/>
      <c r="F171" s="78"/>
      <c r="G171" s="78"/>
      <c r="H171" s="79"/>
    </row>
    <row r="172" spans="1:8" ht="20" customHeight="1" x14ac:dyDescent="0.2">
      <c r="A172" s="71"/>
      <c r="B172" s="81"/>
      <c r="C172" s="72"/>
      <c r="D172" s="72"/>
      <c r="E172" s="72"/>
      <c r="F172" s="72"/>
      <c r="G172" s="72"/>
      <c r="H172" s="73"/>
    </row>
    <row r="173" spans="1:8" ht="20" customHeight="1" x14ac:dyDescent="0.2">
      <c r="A173" s="77"/>
      <c r="B173" s="82"/>
      <c r="C173" s="78"/>
      <c r="D173" s="78"/>
      <c r="E173" s="78"/>
      <c r="F173" s="78"/>
      <c r="G173" s="78"/>
      <c r="H173" s="79"/>
    </row>
    <row r="174" spans="1:8" ht="20" customHeight="1" x14ac:dyDescent="0.2">
      <c r="A174" s="71"/>
      <c r="B174" s="81"/>
      <c r="C174" s="72"/>
      <c r="D174" s="72"/>
      <c r="E174" s="72"/>
      <c r="F174" s="72"/>
      <c r="G174" s="72"/>
      <c r="H174" s="73"/>
    </row>
    <row r="175" spans="1:8" ht="20" customHeight="1" x14ac:dyDescent="0.2">
      <c r="A175" s="77"/>
      <c r="B175" s="82"/>
      <c r="C175" s="78"/>
      <c r="D175" s="78"/>
      <c r="E175" s="78"/>
      <c r="F175" s="78"/>
      <c r="G175" s="78"/>
      <c r="H175" s="79"/>
    </row>
    <row r="176" spans="1:8" ht="20" customHeight="1" x14ac:dyDescent="0.2">
      <c r="A176" s="71"/>
      <c r="B176" s="81"/>
      <c r="C176" s="72"/>
      <c r="D176" s="72"/>
      <c r="E176" s="72"/>
      <c r="F176" s="72"/>
      <c r="G176" s="72"/>
      <c r="H176" s="73"/>
    </row>
    <row r="177" spans="1:8" ht="20" customHeight="1" x14ac:dyDescent="0.2">
      <c r="A177" s="77"/>
      <c r="B177" s="82"/>
      <c r="C177" s="78"/>
      <c r="D177" s="78"/>
      <c r="E177" s="78"/>
      <c r="F177" s="78"/>
      <c r="G177" s="78"/>
      <c r="H177" s="79"/>
    </row>
    <row r="178" spans="1:8" ht="20" customHeight="1" x14ac:dyDescent="0.2">
      <c r="A178" s="71"/>
      <c r="B178" s="81"/>
      <c r="C178" s="72"/>
      <c r="D178" s="72"/>
      <c r="E178" s="72"/>
      <c r="F178" s="72"/>
      <c r="G178" s="72"/>
      <c r="H178" s="73"/>
    </row>
    <row r="179" spans="1:8" ht="20" customHeight="1" x14ac:dyDescent="0.2">
      <c r="A179" s="77"/>
      <c r="B179" s="82"/>
      <c r="C179" s="78"/>
      <c r="D179" s="78"/>
      <c r="E179" s="78"/>
      <c r="F179" s="78"/>
      <c r="G179" s="78"/>
      <c r="H179" s="79"/>
    </row>
    <row r="180" spans="1:8" ht="20" customHeight="1" x14ac:dyDescent="0.2">
      <c r="A180" s="71"/>
      <c r="B180" s="81"/>
      <c r="C180" s="72"/>
      <c r="D180" s="72"/>
      <c r="E180" s="72"/>
      <c r="F180" s="72"/>
      <c r="G180" s="72"/>
      <c r="H180" s="73"/>
    </row>
    <row r="181" spans="1:8" ht="20" customHeight="1" x14ac:dyDescent="0.2">
      <c r="A181" s="77"/>
      <c r="B181" s="82"/>
      <c r="C181" s="78"/>
      <c r="D181" s="78"/>
      <c r="E181" s="78"/>
      <c r="F181" s="78"/>
      <c r="G181" s="78"/>
      <c r="H181" s="79"/>
    </row>
    <row r="182" spans="1:8" ht="20" customHeight="1" x14ac:dyDescent="0.2">
      <c r="A182" s="71"/>
      <c r="B182" s="81"/>
      <c r="C182" s="72"/>
      <c r="D182" s="72"/>
      <c r="E182" s="72"/>
      <c r="F182" s="72"/>
      <c r="G182" s="72"/>
      <c r="H182" s="73"/>
    </row>
    <row r="183" spans="1:8" ht="20" customHeight="1" x14ac:dyDescent="0.2">
      <c r="A183" s="77"/>
      <c r="B183" s="82"/>
      <c r="C183" s="78"/>
      <c r="D183" s="78"/>
      <c r="E183" s="78"/>
      <c r="F183" s="78"/>
      <c r="G183" s="78"/>
      <c r="H183" s="79"/>
    </row>
    <row r="184" spans="1:8" ht="20" customHeight="1" x14ac:dyDescent="0.2">
      <c r="A184" s="71"/>
      <c r="B184" s="81"/>
      <c r="C184" s="72"/>
      <c r="D184" s="72"/>
      <c r="E184" s="72"/>
      <c r="F184" s="72"/>
      <c r="G184" s="72"/>
      <c r="H184" s="73"/>
    </row>
    <row r="185" spans="1:8" ht="20" customHeight="1" x14ac:dyDescent="0.2">
      <c r="A185" s="77"/>
      <c r="B185" s="82"/>
      <c r="C185" s="78"/>
      <c r="D185" s="78"/>
      <c r="E185" s="78"/>
      <c r="F185" s="78"/>
      <c r="G185" s="78"/>
      <c r="H185" s="79"/>
    </row>
    <row r="186" spans="1:8" ht="20" customHeight="1" x14ac:dyDescent="0.2">
      <c r="A186" s="71"/>
      <c r="B186" s="81"/>
      <c r="C186" s="72"/>
      <c r="D186" s="72"/>
      <c r="E186" s="72"/>
      <c r="F186" s="72"/>
      <c r="G186" s="72"/>
      <c r="H186" s="73"/>
    </row>
    <row r="187" spans="1:8" ht="20" customHeight="1" x14ac:dyDescent="0.2">
      <c r="A187" s="77"/>
      <c r="B187" s="82"/>
      <c r="C187" s="78"/>
      <c r="D187" s="78"/>
      <c r="E187" s="78"/>
      <c r="F187" s="78"/>
      <c r="G187" s="78"/>
      <c r="H187" s="79"/>
    </row>
    <row r="188" spans="1:8" ht="20" customHeight="1" x14ac:dyDescent="0.2">
      <c r="A188" s="71"/>
      <c r="B188" s="81"/>
      <c r="C188" s="72"/>
      <c r="D188" s="72"/>
      <c r="E188" s="72"/>
      <c r="F188" s="72"/>
      <c r="G188" s="72"/>
      <c r="H188" s="73"/>
    </row>
    <row r="189" spans="1:8" ht="20" customHeight="1" x14ac:dyDescent="0.2">
      <c r="A189" s="77"/>
      <c r="B189" s="82"/>
      <c r="C189" s="78"/>
      <c r="D189" s="78"/>
      <c r="E189" s="78"/>
      <c r="F189" s="78"/>
      <c r="G189" s="78"/>
      <c r="H189" s="79"/>
    </row>
    <row r="190" spans="1:8" ht="20" customHeight="1" x14ac:dyDescent="0.2">
      <c r="A190" s="71"/>
      <c r="B190" s="81"/>
      <c r="C190" s="72"/>
      <c r="D190" s="72"/>
      <c r="E190" s="72"/>
      <c r="F190" s="72"/>
      <c r="G190" s="72"/>
      <c r="H190" s="73"/>
    </row>
    <row r="191" spans="1:8" ht="20" customHeight="1" x14ac:dyDescent="0.2">
      <c r="A191" s="77"/>
      <c r="B191" s="82"/>
      <c r="C191" s="78"/>
      <c r="D191" s="78"/>
      <c r="E191" s="78"/>
      <c r="F191" s="78"/>
      <c r="G191" s="78"/>
      <c r="H191" s="79"/>
    </row>
    <row r="192" spans="1:8" ht="20" customHeight="1" x14ac:dyDescent="0.2">
      <c r="A192" s="71"/>
      <c r="B192" s="81"/>
      <c r="C192" s="72"/>
      <c r="D192" s="72"/>
      <c r="E192" s="72"/>
      <c r="F192" s="72"/>
      <c r="G192" s="72"/>
      <c r="H192" s="73"/>
    </row>
    <row r="193" spans="1:8" ht="20" customHeight="1" x14ac:dyDescent="0.2">
      <c r="A193" s="77"/>
      <c r="B193" s="82"/>
      <c r="C193" s="78"/>
      <c r="D193" s="78"/>
      <c r="E193" s="78"/>
      <c r="F193" s="78"/>
      <c r="G193" s="78"/>
      <c r="H193" s="79"/>
    </row>
    <row r="194" spans="1:8" ht="20" customHeight="1" x14ac:dyDescent="0.2">
      <c r="A194" s="71"/>
      <c r="B194" s="81"/>
      <c r="C194" s="72"/>
      <c r="D194" s="72"/>
      <c r="E194" s="72"/>
      <c r="F194" s="72"/>
      <c r="G194" s="72"/>
      <c r="H194" s="73"/>
    </row>
    <row r="195" spans="1:8" ht="20" customHeight="1" x14ac:dyDescent="0.2">
      <c r="A195" s="77"/>
      <c r="B195" s="82"/>
      <c r="C195" s="78"/>
      <c r="D195" s="78"/>
      <c r="E195" s="78"/>
      <c r="F195" s="78"/>
      <c r="G195" s="78"/>
      <c r="H195" s="79"/>
    </row>
    <row r="196" spans="1:8" ht="20" customHeight="1" x14ac:dyDescent="0.2">
      <c r="A196" s="71"/>
      <c r="B196" s="81"/>
      <c r="C196" s="72"/>
      <c r="D196" s="72"/>
      <c r="E196" s="72"/>
      <c r="F196" s="72"/>
      <c r="G196" s="72"/>
      <c r="H196" s="73"/>
    </row>
    <row r="197" spans="1:8" ht="20" customHeight="1" x14ac:dyDescent="0.2">
      <c r="A197" s="77"/>
      <c r="B197" s="82"/>
      <c r="C197" s="78"/>
      <c r="D197" s="78"/>
      <c r="E197" s="78"/>
      <c r="F197" s="78"/>
      <c r="G197" s="78"/>
      <c r="H197" s="79"/>
    </row>
    <row r="198" spans="1:8" ht="20" customHeight="1" x14ac:dyDescent="0.2">
      <c r="A198" s="71"/>
      <c r="B198" s="81"/>
      <c r="C198" s="72"/>
      <c r="D198" s="72"/>
      <c r="E198" s="72"/>
      <c r="F198" s="72"/>
      <c r="G198" s="72"/>
      <c r="H198" s="73"/>
    </row>
    <row r="199" spans="1:8" ht="20" customHeight="1" x14ac:dyDescent="0.2">
      <c r="A199" s="77"/>
      <c r="B199" s="82"/>
      <c r="C199" s="78"/>
      <c r="D199" s="78"/>
      <c r="E199" s="78"/>
      <c r="F199" s="78"/>
      <c r="G199" s="78"/>
      <c r="H199" s="79"/>
    </row>
    <row r="200" spans="1:8" ht="20" customHeight="1" x14ac:dyDescent="0.2">
      <c r="A200" s="71"/>
      <c r="B200" s="81"/>
      <c r="C200" s="72"/>
      <c r="D200" s="72"/>
      <c r="E200" s="72"/>
      <c r="F200" s="72"/>
      <c r="G200" s="72"/>
      <c r="H200" s="73"/>
    </row>
    <row r="201" spans="1:8" ht="20" customHeight="1" x14ac:dyDescent="0.2">
      <c r="A201" s="77"/>
      <c r="B201" s="82"/>
      <c r="C201" s="78"/>
      <c r="D201" s="78"/>
      <c r="E201" s="78"/>
      <c r="F201" s="78"/>
      <c r="G201" s="78"/>
      <c r="H201" s="79"/>
    </row>
    <row r="202" spans="1:8" ht="20" customHeight="1" x14ac:dyDescent="0.2">
      <c r="A202" s="71"/>
      <c r="B202" s="81"/>
      <c r="C202" s="72"/>
      <c r="D202" s="72"/>
      <c r="E202" s="72"/>
      <c r="F202" s="72"/>
      <c r="G202" s="72"/>
      <c r="H202" s="73"/>
    </row>
    <row r="203" spans="1:8" ht="20" customHeight="1" x14ac:dyDescent="0.2">
      <c r="A203" s="77"/>
      <c r="B203" s="82"/>
      <c r="C203" s="78"/>
      <c r="D203" s="78"/>
      <c r="E203" s="78"/>
      <c r="F203" s="78"/>
      <c r="G203" s="78"/>
      <c r="H203" s="79"/>
    </row>
    <row r="204" spans="1:8" ht="20" customHeight="1" x14ac:dyDescent="0.2">
      <c r="A204" s="71"/>
      <c r="B204" s="81"/>
      <c r="C204" s="72"/>
      <c r="D204" s="72"/>
      <c r="E204" s="72"/>
      <c r="F204" s="72"/>
      <c r="G204" s="72"/>
      <c r="H204" s="73"/>
    </row>
    <row r="205" spans="1:8" ht="20" customHeight="1" x14ac:dyDescent="0.2">
      <c r="A205" s="77"/>
      <c r="B205" s="82"/>
      <c r="C205" s="78"/>
      <c r="D205" s="78"/>
      <c r="E205" s="78"/>
      <c r="F205" s="78"/>
      <c r="G205" s="78"/>
      <c r="H205" s="79"/>
    </row>
    <row r="206" spans="1:8" ht="20" customHeight="1" x14ac:dyDescent="0.2">
      <c r="A206" s="71"/>
      <c r="B206" s="81"/>
      <c r="C206" s="72"/>
      <c r="D206" s="72"/>
      <c r="E206" s="72"/>
      <c r="F206" s="72"/>
      <c r="G206" s="72"/>
      <c r="H206" s="73"/>
    </row>
    <row r="207" spans="1:8" ht="20" customHeight="1" x14ac:dyDescent="0.2">
      <c r="A207" s="77"/>
      <c r="B207" s="82"/>
      <c r="C207" s="78"/>
      <c r="D207" s="78"/>
      <c r="E207" s="78"/>
      <c r="F207" s="78"/>
      <c r="G207" s="78"/>
      <c r="H207" s="79"/>
    </row>
    <row r="208" spans="1:8" ht="20" customHeight="1" x14ac:dyDescent="0.2">
      <c r="A208" s="71"/>
      <c r="B208" s="81"/>
      <c r="C208" s="72"/>
      <c r="D208" s="72"/>
      <c r="E208" s="72"/>
      <c r="F208" s="72"/>
      <c r="G208" s="72"/>
      <c r="H208" s="73"/>
    </row>
    <row r="209" spans="1:8" ht="20" customHeight="1" x14ac:dyDescent="0.2">
      <c r="A209" s="77"/>
      <c r="B209" s="82"/>
      <c r="C209" s="78"/>
      <c r="D209" s="78"/>
      <c r="E209" s="78"/>
      <c r="F209" s="78"/>
      <c r="G209" s="78"/>
      <c r="H209" s="79"/>
    </row>
    <row r="210" spans="1:8" ht="20" customHeight="1" x14ac:dyDescent="0.2">
      <c r="A210" s="71"/>
      <c r="B210" s="81"/>
      <c r="C210" s="72"/>
      <c r="D210" s="72"/>
      <c r="E210" s="72"/>
      <c r="F210" s="72"/>
      <c r="G210" s="72"/>
      <c r="H210" s="73"/>
    </row>
    <row r="211" spans="1:8" ht="20" customHeight="1" x14ac:dyDescent="0.2">
      <c r="A211" s="77"/>
      <c r="B211" s="82"/>
      <c r="C211" s="78"/>
      <c r="D211" s="78"/>
      <c r="E211" s="78"/>
      <c r="F211" s="78"/>
      <c r="G211" s="78"/>
      <c r="H211" s="79"/>
    </row>
    <row r="212" spans="1:8" ht="20" customHeight="1" x14ac:dyDescent="0.2">
      <c r="A212" s="71"/>
      <c r="B212" s="81"/>
      <c r="C212" s="72"/>
      <c r="D212" s="72"/>
      <c r="E212" s="72"/>
      <c r="F212" s="72"/>
      <c r="G212" s="72"/>
      <c r="H212" s="73"/>
    </row>
    <row r="213" spans="1:8" ht="20" customHeight="1" x14ac:dyDescent="0.2">
      <c r="A213" s="77"/>
      <c r="B213" s="82"/>
      <c r="C213" s="78"/>
      <c r="D213" s="78"/>
      <c r="E213" s="78"/>
      <c r="F213" s="78"/>
      <c r="G213" s="78"/>
      <c r="H213" s="79"/>
    </row>
    <row r="214" spans="1:8" ht="20" customHeight="1" x14ac:dyDescent="0.2">
      <c r="A214" s="71"/>
      <c r="B214" s="81"/>
      <c r="C214" s="72"/>
      <c r="D214" s="72"/>
      <c r="E214" s="72"/>
      <c r="F214" s="72"/>
      <c r="G214" s="72"/>
      <c r="H214" s="73"/>
    </row>
    <row r="215" spans="1:8" ht="20" customHeight="1" x14ac:dyDescent="0.2">
      <c r="A215" s="77"/>
      <c r="B215" s="82"/>
      <c r="C215" s="78"/>
      <c r="D215" s="78"/>
      <c r="E215" s="78"/>
      <c r="F215" s="78"/>
      <c r="G215" s="78"/>
      <c r="H215" s="79"/>
    </row>
  </sheetData>
  <sheetProtection formatCells="0" formatColumns="0" formatRows="0" insertColumns="0" insertRows="0" autoFilter="0"/>
  <autoFilter ref="A6:H6" xr:uid="{00000000-0001-0000-0C00-000000000000}"/>
  <mergeCells count="2">
    <mergeCell ref="B4:H4"/>
    <mergeCell ref="B5:H5"/>
  </mergeCells>
  <conditionalFormatting sqref="B1:C1 A5 B216:C1048576">
    <cfRule type="duplicateValues" dxfId="3" priority="4"/>
  </conditionalFormatting>
  <conditionalFormatting sqref="B7:B215">
    <cfRule type="duplicateValues" dxfId="2" priority="2"/>
  </conditionalFormatting>
  <conditionalFormatting sqref="A4">
    <cfRule type="duplicateValues" dxfId="1" priority="1"/>
  </conditionalFormatting>
  <pageMargins left="0.70866141732283472" right="0.70866141732283472" top="0.74803149606299213" bottom="0.74803149606299213" header="0.31496062992125984" footer="0.31496062992125984"/>
  <pageSetup paperSize="9" orientation="landscape"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4A404-E292-AE4F-962C-0C815DDC8DBD}">
  <dimension ref="B1:O26"/>
  <sheetViews>
    <sheetView showGridLines="0" zoomScale="90" zoomScaleNormal="90" workbookViewId="0"/>
  </sheetViews>
  <sheetFormatPr baseColWidth="10" defaultColWidth="10.83203125" defaultRowHeight="16" x14ac:dyDescent="0.2"/>
  <cols>
    <col min="1" max="1" width="3.83203125" style="89" customWidth="1"/>
    <col min="2" max="2" width="18.6640625" style="89" customWidth="1"/>
    <col min="3" max="3" width="18.5" style="89" customWidth="1"/>
    <col min="4" max="4" width="18.5" style="94" customWidth="1"/>
    <col min="5" max="8" width="18.33203125" style="94" customWidth="1"/>
    <col min="9" max="15" width="12.6640625" style="89" customWidth="1"/>
    <col min="16" max="16384" width="10.83203125" style="89"/>
  </cols>
  <sheetData>
    <row r="1" spans="2:15" ht="72" customHeight="1" x14ac:dyDescent="0.2">
      <c r="D1" s="90"/>
      <c r="E1" s="90"/>
      <c r="F1" s="91"/>
      <c r="G1" s="91" t="s">
        <v>134</v>
      </c>
      <c r="H1" s="92"/>
      <c r="I1" s="92"/>
    </row>
    <row r="2" spans="2:15" ht="40" customHeight="1" x14ac:dyDescent="0.2">
      <c r="B2" s="93"/>
      <c r="C2" s="93"/>
      <c r="D2" s="93"/>
      <c r="E2" s="93"/>
      <c r="F2" s="93"/>
      <c r="G2" s="93"/>
      <c r="H2" s="93"/>
    </row>
    <row r="3" spans="2:15" ht="20" customHeight="1" x14ac:dyDescent="0.2">
      <c r="B3" s="93"/>
      <c r="C3" s="93"/>
      <c r="D3" s="93"/>
      <c r="E3" s="93"/>
      <c r="F3" s="93"/>
      <c r="G3" s="93"/>
      <c r="H3" s="93"/>
    </row>
    <row r="4" spans="2:15" ht="26" customHeight="1" x14ac:dyDescent="0.2">
      <c r="B4" s="108" t="s">
        <v>473</v>
      </c>
      <c r="C4" s="108"/>
      <c r="D4" s="108"/>
      <c r="E4" s="108"/>
      <c r="F4" s="108"/>
      <c r="G4" s="108"/>
      <c r="H4" s="108"/>
      <c r="I4" s="108"/>
      <c r="J4" s="100"/>
      <c r="K4" s="100"/>
      <c r="L4" s="100"/>
      <c r="M4" s="100"/>
      <c r="N4" s="100"/>
      <c r="O4" s="100"/>
    </row>
    <row r="5" spans="2:15" ht="16" customHeight="1" x14ac:dyDescent="0.2">
      <c r="B5" s="99"/>
      <c r="C5" s="100"/>
      <c r="D5" s="100"/>
      <c r="E5" s="100"/>
      <c r="F5" s="100"/>
      <c r="G5" s="100"/>
      <c r="H5" s="100"/>
      <c r="I5" s="100"/>
      <c r="J5" s="100"/>
      <c r="K5" s="100"/>
      <c r="L5" s="100"/>
      <c r="M5" s="100"/>
      <c r="N5" s="100"/>
      <c r="O5" s="100"/>
    </row>
    <row r="6" spans="2:15" x14ac:dyDescent="0.2">
      <c r="B6" s="108" t="s">
        <v>474</v>
      </c>
      <c r="C6" s="108"/>
      <c r="D6" s="108"/>
      <c r="E6" s="108"/>
      <c r="F6" s="108"/>
      <c r="G6" s="108"/>
      <c r="H6" s="108"/>
      <c r="I6" s="108"/>
      <c r="J6" s="108"/>
      <c r="K6" s="108"/>
      <c r="L6" s="108"/>
      <c r="M6" s="108"/>
      <c r="N6" s="108"/>
      <c r="O6" s="108"/>
    </row>
    <row r="7" spans="2:15" ht="16" customHeight="1" x14ac:dyDescent="0.2">
      <c r="B7" s="111" t="s">
        <v>475</v>
      </c>
      <c r="C7" s="111"/>
      <c r="D7" s="111"/>
      <c r="E7" s="111"/>
      <c r="F7" s="111"/>
      <c r="G7" s="111"/>
      <c r="H7" s="111"/>
      <c r="I7" s="111"/>
      <c r="J7" s="111"/>
      <c r="K7" s="111"/>
      <c r="L7" s="111"/>
      <c r="M7" s="111"/>
      <c r="N7" s="111"/>
      <c r="O7" s="111"/>
    </row>
    <row r="8" spans="2:15" x14ac:dyDescent="0.2">
      <c r="B8" s="99"/>
      <c r="C8" s="99"/>
      <c r="D8" s="99"/>
      <c r="E8" s="99"/>
      <c r="F8" s="99"/>
      <c r="G8" s="99"/>
      <c r="H8" s="99"/>
      <c r="I8" s="99"/>
      <c r="J8" s="99"/>
      <c r="K8" s="99"/>
      <c r="L8" s="99"/>
      <c r="M8" s="99"/>
      <c r="N8" s="99"/>
      <c r="O8" s="99"/>
    </row>
    <row r="9" spans="2:15" x14ac:dyDescent="0.2">
      <c r="B9" s="108" t="s">
        <v>476</v>
      </c>
      <c r="C9" s="108"/>
      <c r="D9" s="108"/>
      <c r="E9" s="108"/>
      <c r="F9" s="108"/>
      <c r="G9" s="108"/>
      <c r="H9" s="108"/>
      <c r="I9" s="108"/>
      <c r="J9" s="108"/>
      <c r="K9" s="108"/>
      <c r="L9" s="108"/>
      <c r="M9" s="108"/>
      <c r="N9" s="108"/>
      <c r="O9" s="108"/>
    </row>
    <row r="10" spans="2:15" ht="16" customHeight="1" x14ac:dyDescent="0.2">
      <c r="B10" s="111" t="s">
        <v>477</v>
      </c>
      <c r="C10" s="111"/>
      <c r="D10" s="111"/>
      <c r="E10" s="111"/>
      <c r="F10" s="111"/>
      <c r="G10" s="111"/>
      <c r="H10" s="111"/>
      <c r="I10" s="111"/>
      <c r="J10" s="111"/>
      <c r="K10" s="111"/>
      <c r="L10" s="111"/>
      <c r="M10" s="111"/>
      <c r="N10" s="111"/>
      <c r="O10" s="111"/>
    </row>
    <row r="11" spans="2:15" ht="16" customHeight="1" x14ac:dyDescent="0.2">
      <c r="B11" s="99"/>
      <c r="C11" s="99"/>
      <c r="D11" s="99"/>
      <c r="E11" s="99"/>
      <c r="F11" s="99"/>
      <c r="G11" s="99"/>
      <c r="H11" s="99"/>
      <c r="I11" s="99"/>
      <c r="J11" s="99"/>
      <c r="K11" s="99"/>
      <c r="L11" s="99"/>
      <c r="M11" s="99"/>
      <c r="N11" s="99"/>
      <c r="O11" s="99"/>
    </row>
    <row r="12" spans="2:15" x14ac:dyDescent="0.2">
      <c r="B12" s="108" t="s">
        <v>478</v>
      </c>
      <c r="C12" s="108"/>
      <c r="D12" s="108"/>
      <c r="E12" s="108"/>
      <c r="F12" s="108"/>
      <c r="G12" s="108"/>
      <c r="H12" s="108"/>
      <c r="I12" s="108"/>
      <c r="J12" s="108"/>
      <c r="K12" s="108"/>
      <c r="L12" s="108"/>
      <c r="M12" s="108"/>
      <c r="N12" s="108"/>
      <c r="O12" s="108"/>
    </row>
    <row r="13" spans="2:15" ht="16" customHeight="1" x14ac:dyDescent="0.2">
      <c r="B13" s="111" t="s">
        <v>479</v>
      </c>
      <c r="C13" s="111"/>
      <c r="D13" s="111"/>
      <c r="E13" s="111"/>
      <c r="F13" s="111"/>
      <c r="G13" s="111"/>
      <c r="H13" s="111"/>
      <c r="I13" s="111"/>
      <c r="J13" s="111"/>
      <c r="K13" s="111"/>
      <c r="L13" s="111"/>
      <c r="M13" s="111"/>
      <c r="N13" s="111"/>
      <c r="O13" s="111"/>
    </row>
    <row r="14" spans="2:15" x14ac:dyDescent="0.2">
      <c r="B14" s="99"/>
      <c r="C14" s="99"/>
      <c r="D14" s="99"/>
      <c r="E14" s="99"/>
      <c r="F14" s="99"/>
      <c r="G14" s="99"/>
      <c r="H14" s="99"/>
      <c r="I14" s="99"/>
      <c r="J14" s="99"/>
      <c r="K14" s="99"/>
      <c r="L14" s="99"/>
      <c r="M14" s="99"/>
      <c r="N14" s="99"/>
      <c r="O14" s="99"/>
    </row>
    <row r="15" spans="2:15" x14ac:dyDescent="0.2">
      <c r="B15" s="108" t="s">
        <v>493</v>
      </c>
      <c r="C15" s="108"/>
      <c r="D15" s="108"/>
      <c r="E15" s="108"/>
      <c r="F15" s="108"/>
      <c r="G15" s="108"/>
      <c r="H15" s="108"/>
      <c r="I15" s="108"/>
      <c r="J15" s="108"/>
      <c r="K15" s="108"/>
      <c r="L15" s="108"/>
      <c r="M15" s="108"/>
      <c r="N15" s="108"/>
      <c r="O15" s="108"/>
    </row>
    <row r="16" spans="2:15" ht="61" customHeight="1" x14ac:dyDescent="0.2">
      <c r="B16" s="110" t="s">
        <v>494</v>
      </c>
      <c r="C16" s="112"/>
      <c r="D16" s="112"/>
      <c r="E16" s="112"/>
      <c r="F16" s="112"/>
      <c r="G16" s="112"/>
      <c r="H16" s="112"/>
      <c r="I16" s="112"/>
      <c r="J16" s="112"/>
      <c r="K16" s="112"/>
      <c r="L16" s="112"/>
      <c r="M16" s="112"/>
      <c r="N16" s="112"/>
      <c r="O16" s="112"/>
    </row>
    <row r="17" spans="2:15" ht="33" customHeight="1" x14ac:dyDescent="0.2">
      <c r="B17" s="95" t="s">
        <v>132</v>
      </c>
      <c r="C17" s="95" t="s">
        <v>481</v>
      </c>
      <c r="D17" s="95" t="s">
        <v>482</v>
      </c>
      <c r="E17" s="95" t="s">
        <v>480</v>
      </c>
      <c r="F17" s="104" t="s">
        <v>495</v>
      </c>
      <c r="G17" s="104" t="s">
        <v>495</v>
      </c>
      <c r="H17" s="104" t="s">
        <v>495</v>
      </c>
      <c r="I17"/>
      <c r="J17"/>
      <c r="K17"/>
      <c r="L17"/>
      <c r="M17"/>
      <c r="N17"/>
      <c r="O17"/>
    </row>
    <row r="18" spans="2:15" x14ac:dyDescent="0.2">
      <c r="B18" s="96" t="s">
        <v>483</v>
      </c>
      <c r="C18" s="96" t="s">
        <v>484</v>
      </c>
      <c r="D18" s="96" t="s">
        <v>484</v>
      </c>
      <c r="E18" s="107">
        <v>130</v>
      </c>
      <c r="F18" s="101">
        <f>E18/800</f>
        <v>0.16250000000000001</v>
      </c>
      <c r="G18" s="101">
        <f>(130/900)</f>
        <v>0.14444444444444443</v>
      </c>
      <c r="H18" s="101">
        <f>(130/970)</f>
        <v>0.13402061855670103</v>
      </c>
      <c r="I18"/>
      <c r="J18"/>
      <c r="K18"/>
      <c r="L18"/>
      <c r="M18"/>
      <c r="N18"/>
      <c r="O18"/>
    </row>
    <row r="19" spans="2:15" x14ac:dyDescent="0.2">
      <c r="B19" s="97" t="s">
        <v>286</v>
      </c>
      <c r="C19" s="97" t="s">
        <v>485</v>
      </c>
      <c r="D19" s="97" t="s">
        <v>486</v>
      </c>
      <c r="E19" s="105">
        <v>40</v>
      </c>
      <c r="F19" s="102">
        <f>(40*800)/800</f>
        <v>40</v>
      </c>
      <c r="G19" s="102">
        <f>(40*800)/900</f>
        <v>35.555555555555557</v>
      </c>
      <c r="H19" s="102">
        <f>(40*800)/970</f>
        <v>32.989690721649481</v>
      </c>
      <c r="I19"/>
      <c r="J19"/>
      <c r="K19"/>
      <c r="L19"/>
      <c r="M19"/>
      <c r="N19"/>
      <c r="O19"/>
    </row>
    <row r="20" spans="2:15" x14ac:dyDescent="0.2">
      <c r="B20" s="96" t="s">
        <v>487</v>
      </c>
      <c r="C20" s="96" t="s">
        <v>485</v>
      </c>
      <c r="D20" s="96" t="s">
        <v>488</v>
      </c>
      <c r="E20" s="106">
        <v>800</v>
      </c>
      <c r="F20" s="101">
        <f>(800*970)/800</f>
        <v>970</v>
      </c>
      <c r="G20" s="101">
        <f>(800*970)/900</f>
        <v>862.22222222222217</v>
      </c>
      <c r="H20" s="101">
        <f>(800*970)/970</f>
        <v>800</v>
      </c>
      <c r="I20"/>
      <c r="J20"/>
      <c r="K20"/>
      <c r="L20"/>
      <c r="M20"/>
      <c r="N20"/>
      <c r="O20"/>
    </row>
    <row r="21" spans="2:15" x14ac:dyDescent="0.2">
      <c r="B21" s="98" t="s">
        <v>489</v>
      </c>
      <c r="C21" s="98"/>
      <c r="D21" s="98"/>
      <c r="E21" s="103">
        <f>(E18/800)+E19+E20</f>
        <v>840.16250000000002</v>
      </c>
      <c r="F21" s="103">
        <f>SUM(F18:F20)</f>
        <v>1010.1625</v>
      </c>
      <c r="G21" s="103">
        <f>SUM(G18:G20)</f>
        <v>897.92222222222222</v>
      </c>
      <c r="H21" s="103">
        <f>SUM(H18:H20)</f>
        <v>833.12371134020623</v>
      </c>
      <c r="I21"/>
      <c r="J21"/>
      <c r="K21"/>
      <c r="L21"/>
      <c r="M21"/>
      <c r="N21"/>
      <c r="O21"/>
    </row>
    <row r="22" spans="2:15" x14ac:dyDescent="0.2">
      <c r="B22"/>
      <c r="C22"/>
      <c r="D22"/>
      <c r="E22"/>
      <c r="F22"/>
      <c r="G22"/>
      <c r="H22"/>
      <c r="I22"/>
      <c r="J22"/>
      <c r="K22"/>
      <c r="L22"/>
      <c r="M22"/>
      <c r="N22"/>
      <c r="O22"/>
    </row>
    <row r="23" spans="2:15" x14ac:dyDescent="0.2">
      <c r="B23" s="108" t="s">
        <v>496</v>
      </c>
      <c r="C23" s="109"/>
      <c r="D23" s="109"/>
      <c r="E23" s="109"/>
      <c r="F23" s="109"/>
      <c r="G23" s="109"/>
      <c r="H23" s="109"/>
      <c r="I23" s="109"/>
      <c r="J23" s="109"/>
      <c r="K23" s="109"/>
      <c r="L23" s="109"/>
      <c r="M23" s="109"/>
      <c r="N23" s="109"/>
      <c r="O23" s="109"/>
    </row>
    <row r="24" spans="2:15" x14ac:dyDescent="0.2">
      <c r="B24" s="111" t="s">
        <v>490</v>
      </c>
      <c r="C24" s="99"/>
      <c r="D24" s="99"/>
      <c r="E24" s="99"/>
      <c r="F24" s="99"/>
      <c r="G24" s="99"/>
      <c r="H24" s="99"/>
      <c r="I24" s="99"/>
      <c r="J24" s="99"/>
      <c r="K24" s="99"/>
      <c r="L24" s="99"/>
      <c r="M24" s="99"/>
      <c r="N24" s="99"/>
      <c r="O24" s="99"/>
    </row>
    <row r="25" spans="2:15" x14ac:dyDescent="0.2">
      <c r="B25" s="111" t="s">
        <v>491</v>
      </c>
      <c r="C25" s="99"/>
      <c r="D25" s="99"/>
      <c r="E25" s="99"/>
      <c r="F25" s="99"/>
      <c r="G25" s="99"/>
      <c r="H25" s="99"/>
      <c r="I25" s="99"/>
      <c r="J25" s="99"/>
      <c r="K25" s="99"/>
      <c r="L25" s="99"/>
      <c r="M25" s="99"/>
      <c r="N25" s="99"/>
      <c r="O25" s="99"/>
    </row>
    <row r="26" spans="2:15" x14ac:dyDescent="0.2">
      <c r="B26" s="111" t="s">
        <v>492</v>
      </c>
      <c r="C26" s="99"/>
      <c r="D26" s="99"/>
      <c r="E26" s="99"/>
      <c r="F26" s="99"/>
      <c r="G26" s="99"/>
      <c r="H26" s="99"/>
      <c r="I26" s="99"/>
      <c r="J26" s="99"/>
      <c r="K26" s="99"/>
      <c r="L26" s="99"/>
      <c r="M26" s="99"/>
      <c r="N26" s="99"/>
      <c r="O26" s="99"/>
    </row>
  </sheetData>
  <sheetProtection formatCells="0" formatColumns="0" formatRows="0" insertColumns="0" insertRows="0" autoFilter="0"/>
  <pageMargins left="0.70866141732283472" right="0.70866141732283472" top="0.74803149606299213" bottom="0.74803149606299213" header="0.31496062992125984" footer="0.31496062992125984"/>
  <pageSetup paperSize="9" orientation="landscape"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2AEF3-1CF9-5F4D-AEBE-3677F17847A8}">
  <dimension ref="A11:G17"/>
  <sheetViews>
    <sheetView showGridLines="0" zoomScale="120" zoomScaleNormal="120" workbookViewId="0">
      <selection activeCell="K17" sqref="K17"/>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8" t="s">
        <v>4</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7"/>
      <c r="B17" s="27"/>
      <c r="C17" s="27"/>
      <c r="D17" s="27"/>
      <c r="E17" s="27"/>
      <c r="F17" s="27"/>
    </row>
  </sheetData>
  <sheetProtection selectLockedCells="1" selectUnlockedCells="1"/>
  <pageMargins left="0.7" right="0.7" top="0.75" bottom="0.75" header="0.3" footer="0.3"/>
  <pageSetup paperSize="9" orientation="portrait"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0"/>
  <dimension ref="B1:O32"/>
  <sheetViews>
    <sheetView showGridLines="0" zoomScale="90" zoomScaleNormal="90" workbookViewId="0">
      <selection activeCell="F1" sqref="F1"/>
    </sheetView>
  </sheetViews>
  <sheetFormatPr baseColWidth="10" defaultColWidth="10.83203125" defaultRowHeight="16" x14ac:dyDescent="0.2"/>
  <cols>
    <col min="1" max="1" width="13.83203125" style="1" customWidth="1"/>
    <col min="2" max="2" width="31.33203125" style="1" customWidth="1"/>
    <col min="3" max="6" width="17.83203125" style="8" customWidth="1"/>
    <col min="7" max="7" width="20.33203125" style="8" bestFit="1" customWidth="1"/>
    <col min="8" max="16384" width="10.83203125" style="1"/>
  </cols>
  <sheetData>
    <row r="1" spans="2:15" ht="72" customHeight="1" x14ac:dyDescent="0.2">
      <c r="L1" s="15" t="s">
        <v>135</v>
      </c>
      <c r="N1" s="62" t="s">
        <v>55</v>
      </c>
      <c r="O1" s="62"/>
    </row>
    <row r="2" spans="2:15" ht="40" customHeight="1" x14ac:dyDescent="0.2">
      <c r="B2" s="14"/>
      <c r="C2" s="14"/>
      <c r="D2" s="14"/>
      <c r="E2" s="14"/>
      <c r="F2" s="14"/>
      <c r="G2" s="14"/>
    </row>
    <row r="3" spans="2:15" ht="16" customHeight="1" x14ac:dyDescent="0.2">
      <c r="B3" s="14"/>
      <c r="C3" s="14"/>
      <c r="D3" s="14"/>
      <c r="E3" s="14"/>
      <c r="F3" s="14"/>
      <c r="G3" s="14"/>
    </row>
    <row r="4" spans="2:15" x14ac:dyDescent="0.2">
      <c r="B4" s="60" t="s">
        <v>136</v>
      </c>
      <c r="C4" s="61"/>
      <c r="D4" s="61"/>
      <c r="E4" s="61"/>
      <c r="F4" s="61"/>
      <c r="G4" s="61"/>
    </row>
    <row r="5" spans="2:15" x14ac:dyDescent="0.2">
      <c r="B5" s="61"/>
      <c r="C5" s="61"/>
      <c r="D5" s="61"/>
      <c r="E5" s="61"/>
      <c r="F5" s="61"/>
      <c r="G5" s="61"/>
    </row>
    <row r="6" spans="2:15" x14ac:dyDescent="0.2">
      <c r="B6" s="61"/>
      <c r="C6" s="61"/>
      <c r="D6" s="61"/>
      <c r="E6" s="61"/>
      <c r="F6" s="61"/>
      <c r="G6" s="61"/>
    </row>
    <row r="7" spans="2:15" x14ac:dyDescent="0.2">
      <c r="B7" s="61"/>
      <c r="C7" s="61"/>
      <c r="D7" s="61"/>
      <c r="E7" s="61"/>
      <c r="F7" s="61"/>
      <c r="G7" s="61"/>
    </row>
    <row r="8" spans="2:15" x14ac:dyDescent="0.2">
      <c r="B8" s="61"/>
      <c r="C8" s="61"/>
      <c r="D8" s="61"/>
      <c r="E8" s="61"/>
      <c r="F8" s="61"/>
      <c r="G8" s="61"/>
    </row>
    <row r="9" spans="2:15" x14ac:dyDescent="0.2">
      <c r="B9" s="61"/>
      <c r="C9" s="61"/>
      <c r="D9" s="61"/>
      <c r="E9" s="61"/>
      <c r="F9" s="61"/>
      <c r="G9" s="61"/>
    </row>
    <row r="10" spans="2:15" x14ac:dyDescent="0.2">
      <c r="B10" s="61"/>
      <c r="C10" s="61"/>
      <c r="D10" s="61"/>
      <c r="E10" s="61"/>
      <c r="F10" s="61"/>
      <c r="G10" s="61"/>
    </row>
    <row r="11" spans="2:15" x14ac:dyDescent="0.2">
      <c r="B11" s="61"/>
      <c r="C11" s="61"/>
      <c r="D11" s="61"/>
      <c r="E11" s="61"/>
      <c r="F11" s="61"/>
      <c r="G11" s="61"/>
    </row>
    <row r="12" spans="2:15" x14ac:dyDescent="0.2">
      <c r="B12" s="61"/>
      <c r="C12" s="61"/>
      <c r="D12" s="61"/>
      <c r="E12" s="61"/>
      <c r="F12" s="61"/>
      <c r="G12" s="61"/>
    </row>
    <row r="13" spans="2:15" x14ac:dyDescent="0.2">
      <c r="B13" s="61"/>
      <c r="C13" s="61"/>
      <c r="D13" s="61"/>
      <c r="E13" s="61"/>
      <c r="F13" s="61"/>
      <c r="G13" s="61"/>
    </row>
    <row r="14" spans="2:15" x14ac:dyDescent="0.2">
      <c r="B14" s="61"/>
      <c r="C14" s="61"/>
      <c r="D14" s="61"/>
      <c r="E14" s="61"/>
      <c r="F14" s="61"/>
      <c r="G14" s="61"/>
    </row>
    <row r="15" spans="2:15" x14ac:dyDescent="0.2">
      <c r="B15" s="61"/>
      <c r="C15" s="61"/>
      <c r="D15" s="61"/>
      <c r="E15" s="61"/>
      <c r="F15" s="61"/>
      <c r="G15" s="61"/>
    </row>
    <row r="16" spans="2:15" x14ac:dyDescent="0.2">
      <c r="B16" s="61"/>
      <c r="C16" s="61"/>
      <c r="D16" s="61"/>
      <c r="E16" s="61"/>
      <c r="F16" s="61"/>
      <c r="G16" s="61"/>
    </row>
    <row r="17" spans="2:7" x14ac:dyDescent="0.2">
      <c r="B17" s="61"/>
      <c r="C17" s="61"/>
      <c r="D17" s="61"/>
      <c r="E17" s="61"/>
      <c r="F17" s="61"/>
      <c r="G17" s="61"/>
    </row>
    <row r="18" spans="2:7" x14ac:dyDescent="0.2">
      <c r="B18" s="61"/>
      <c r="C18" s="61"/>
      <c r="D18" s="61"/>
      <c r="E18" s="61"/>
      <c r="F18" s="61"/>
      <c r="G18" s="61"/>
    </row>
    <row r="19" spans="2:7" x14ac:dyDescent="0.2">
      <c r="B19" s="61"/>
      <c r="C19" s="61"/>
      <c r="D19" s="61"/>
      <c r="E19" s="61"/>
      <c r="F19" s="61"/>
      <c r="G19" s="61"/>
    </row>
    <row r="20" spans="2:7" x14ac:dyDescent="0.2">
      <c r="B20" s="61"/>
      <c r="C20" s="61"/>
      <c r="D20" s="61"/>
      <c r="E20" s="61"/>
      <c r="F20" s="61"/>
      <c r="G20" s="61"/>
    </row>
    <row r="21" spans="2:7" x14ac:dyDescent="0.2">
      <c r="B21" s="61"/>
      <c r="C21" s="61"/>
      <c r="D21" s="61"/>
      <c r="E21" s="61"/>
      <c r="F21" s="61"/>
      <c r="G21" s="61"/>
    </row>
    <row r="22" spans="2:7" x14ac:dyDescent="0.2">
      <c r="B22" s="61"/>
      <c r="C22" s="61"/>
      <c r="D22" s="61"/>
      <c r="E22" s="61"/>
      <c r="F22" s="61"/>
      <c r="G22" s="61"/>
    </row>
    <row r="23" spans="2:7" x14ac:dyDescent="0.2">
      <c r="B23" s="61"/>
      <c r="C23" s="61"/>
      <c r="D23" s="61"/>
      <c r="E23" s="61"/>
      <c r="F23" s="61"/>
      <c r="G23" s="61"/>
    </row>
    <row r="24" spans="2:7" x14ac:dyDescent="0.2">
      <c r="B24" s="61"/>
      <c r="C24" s="61"/>
      <c r="D24" s="61"/>
      <c r="E24" s="61"/>
      <c r="F24" s="61"/>
      <c r="G24" s="61"/>
    </row>
    <row r="25" spans="2:7" x14ac:dyDescent="0.2">
      <c r="B25" s="61"/>
      <c r="C25" s="61"/>
      <c r="D25" s="61"/>
      <c r="E25" s="61"/>
      <c r="F25" s="61"/>
      <c r="G25" s="61"/>
    </row>
    <row r="26" spans="2:7" x14ac:dyDescent="0.2">
      <c r="B26" s="61"/>
      <c r="C26" s="61"/>
      <c r="D26" s="61"/>
      <c r="E26" s="61"/>
      <c r="F26" s="61"/>
      <c r="G26" s="61"/>
    </row>
    <row r="27" spans="2:7" x14ac:dyDescent="0.2">
      <c r="B27" s="61"/>
      <c r="C27" s="61"/>
      <c r="D27" s="61"/>
      <c r="E27" s="61"/>
      <c r="F27" s="61"/>
      <c r="G27" s="61"/>
    </row>
    <row r="28" spans="2:7" x14ac:dyDescent="0.2">
      <c r="B28" s="61"/>
      <c r="C28" s="61"/>
      <c r="D28" s="61"/>
      <c r="E28" s="61"/>
      <c r="F28" s="61"/>
      <c r="G28" s="61"/>
    </row>
    <row r="29" spans="2:7" x14ac:dyDescent="0.2">
      <c r="B29" s="61"/>
      <c r="C29" s="61"/>
      <c r="D29" s="61"/>
      <c r="E29" s="61"/>
      <c r="F29" s="61"/>
      <c r="G29" s="61"/>
    </row>
    <row r="30" spans="2:7" x14ac:dyDescent="0.2">
      <c r="B30" s="61"/>
      <c r="C30" s="61"/>
      <c r="D30" s="61"/>
      <c r="E30" s="61"/>
      <c r="F30" s="61"/>
      <c r="G30" s="61"/>
    </row>
    <row r="31" spans="2:7" x14ac:dyDescent="0.2">
      <c r="B31" s="61"/>
      <c r="C31" s="61"/>
      <c r="D31" s="61"/>
      <c r="E31" s="61"/>
      <c r="F31" s="61"/>
      <c r="G31" s="61"/>
    </row>
    <row r="32" spans="2:7" x14ac:dyDescent="0.2">
      <c r="B32" s="61"/>
      <c r="C32" s="61"/>
      <c r="D32" s="61"/>
      <c r="E32" s="61"/>
      <c r="F32" s="61"/>
      <c r="G32" s="61"/>
    </row>
  </sheetData>
  <sheetProtection selectLockedCells="1" selectUnlockedCells="1"/>
  <mergeCells count="2">
    <mergeCell ref="B4:G32"/>
    <mergeCell ref="N1:O1"/>
  </mergeCells>
  <pageMargins left="0.7" right="0.7" top="0.75" bottom="0.75" header="0.3" footer="0.3"/>
  <pageSetup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51"/>
  <dimension ref="A1:S65"/>
  <sheetViews>
    <sheetView showGridLines="0" zoomScale="90" zoomScaleNormal="90" workbookViewId="0">
      <selection activeCell="S10" sqref="S10"/>
    </sheetView>
  </sheetViews>
  <sheetFormatPr baseColWidth="10" defaultColWidth="10.83203125" defaultRowHeight="16" x14ac:dyDescent="0.2"/>
  <cols>
    <col min="1" max="1" width="3" style="11" customWidth="1"/>
    <col min="2" max="2" width="3" style="8" customWidth="1"/>
    <col min="3" max="6" width="17.83203125" style="8" customWidth="1"/>
    <col min="7" max="9" width="17.83203125" style="1" customWidth="1"/>
    <col min="10" max="10" width="10.83203125" style="1"/>
    <col min="11" max="11" width="2.6640625" style="1" customWidth="1"/>
    <col min="12" max="16384" width="10.83203125" style="1"/>
  </cols>
  <sheetData>
    <row r="1" spans="1:18" ht="72" customHeight="1" x14ac:dyDescent="0.2">
      <c r="K1" s="53" t="s">
        <v>134</v>
      </c>
      <c r="L1" s="54"/>
      <c r="M1" s="52"/>
      <c r="N1" s="52"/>
      <c r="P1" s="21"/>
      <c r="Q1" s="64"/>
      <c r="R1" s="64"/>
    </row>
    <row r="2" spans="1:18" ht="40" customHeight="1" x14ac:dyDescent="0.2">
      <c r="A2" s="14"/>
      <c r="B2" s="14"/>
      <c r="C2" s="14"/>
      <c r="D2" s="14"/>
      <c r="E2" s="14"/>
      <c r="F2" s="14"/>
      <c r="G2" s="14"/>
      <c r="H2" s="14"/>
      <c r="I2" s="14"/>
      <c r="J2" s="14"/>
    </row>
    <row r="3" spans="1:18" ht="16" customHeight="1" x14ac:dyDescent="0.2">
      <c r="A3" s="14"/>
      <c r="B3" s="14"/>
      <c r="C3" s="14"/>
      <c r="D3" s="14"/>
      <c r="E3" s="14"/>
      <c r="F3" s="14"/>
      <c r="G3" s="14"/>
      <c r="H3" s="14"/>
      <c r="I3" s="14"/>
      <c r="J3" s="14"/>
    </row>
    <row r="4" spans="1:18" ht="16" customHeight="1" x14ac:dyDescent="0.2">
      <c r="A4" s="65" t="s">
        <v>7</v>
      </c>
      <c r="B4" s="65"/>
      <c r="C4" s="65"/>
      <c r="D4" s="65"/>
      <c r="E4" s="65"/>
      <c r="F4" s="65"/>
      <c r="G4" s="65"/>
      <c r="H4" s="65"/>
      <c r="I4" s="65"/>
      <c r="J4" s="65"/>
    </row>
    <row r="5" spans="1:18" ht="18" customHeight="1" x14ac:dyDescent="0.2">
      <c r="A5" s="12" t="s">
        <v>2</v>
      </c>
      <c r="B5" s="63" t="s">
        <v>8</v>
      </c>
      <c r="C5" s="63"/>
      <c r="D5" s="63"/>
      <c r="E5" s="63"/>
      <c r="F5" s="63"/>
      <c r="G5" s="63"/>
      <c r="H5" s="63"/>
      <c r="I5" s="63"/>
      <c r="J5" s="63"/>
    </row>
    <row r="6" spans="1:18" ht="18" customHeight="1" x14ac:dyDescent="0.2">
      <c r="A6" s="12" t="s">
        <v>2</v>
      </c>
      <c r="B6" s="63" t="s">
        <v>9</v>
      </c>
      <c r="C6" s="63"/>
      <c r="D6" s="63"/>
      <c r="E6" s="63"/>
      <c r="F6" s="63"/>
      <c r="G6" s="63"/>
      <c r="H6" s="63"/>
      <c r="I6" s="63"/>
      <c r="J6" s="63"/>
    </row>
    <row r="7" spans="1:18" ht="18" customHeight="1" x14ac:dyDescent="0.2">
      <c r="A7" s="12" t="s">
        <v>2</v>
      </c>
      <c r="B7" s="63" t="s">
        <v>10</v>
      </c>
      <c r="C7" s="63"/>
      <c r="D7" s="63"/>
      <c r="E7" s="63"/>
      <c r="F7" s="63"/>
      <c r="G7" s="63"/>
      <c r="H7" s="63"/>
      <c r="I7" s="63"/>
      <c r="J7" s="63"/>
    </row>
    <row r="8" spans="1:18" ht="18" customHeight="1" x14ac:dyDescent="0.2">
      <c r="A8" s="12" t="s">
        <v>2</v>
      </c>
      <c r="B8" s="63" t="s">
        <v>11</v>
      </c>
      <c r="C8" s="63"/>
      <c r="D8" s="63"/>
      <c r="E8" s="63"/>
      <c r="F8" s="63"/>
      <c r="G8" s="63"/>
      <c r="H8" s="63"/>
      <c r="I8" s="63"/>
      <c r="J8" s="63"/>
    </row>
    <row r="9" spans="1:18" ht="18" customHeight="1" x14ac:dyDescent="0.2">
      <c r="A9" s="12" t="s">
        <v>2</v>
      </c>
      <c r="B9" s="63" t="s">
        <v>12</v>
      </c>
      <c r="C9" s="63"/>
      <c r="D9" s="63"/>
      <c r="E9" s="63"/>
      <c r="F9" s="63"/>
      <c r="G9" s="63"/>
      <c r="H9" s="63"/>
      <c r="I9" s="63"/>
      <c r="J9" s="63"/>
    </row>
    <row r="10" spans="1:18" ht="18" customHeight="1" x14ac:dyDescent="0.2">
      <c r="A10" s="12" t="s">
        <v>2</v>
      </c>
      <c r="B10" s="63" t="s">
        <v>13</v>
      </c>
      <c r="C10" s="63"/>
      <c r="D10" s="63"/>
      <c r="E10" s="63"/>
      <c r="F10" s="63"/>
      <c r="G10" s="63"/>
      <c r="H10" s="63"/>
      <c r="I10" s="63"/>
      <c r="J10" s="63"/>
    </row>
    <row r="11" spans="1:18" ht="18" customHeight="1" x14ac:dyDescent="0.2">
      <c r="A11" s="12" t="s">
        <v>2</v>
      </c>
      <c r="B11" s="63" t="s">
        <v>14</v>
      </c>
      <c r="C11" s="63"/>
      <c r="D11" s="63"/>
      <c r="E11" s="63"/>
      <c r="F11" s="63"/>
      <c r="G11" s="63"/>
      <c r="H11" s="63"/>
      <c r="I11" s="63"/>
      <c r="J11" s="63"/>
      <c r="K11" s="63"/>
      <c r="L11" s="63"/>
      <c r="M11" s="63"/>
    </row>
    <row r="12" spans="1:18" ht="18" customHeight="1" x14ac:dyDescent="0.2">
      <c r="A12" s="12" t="s">
        <v>2</v>
      </c>
      <c r="B12" s="63" t="s">
        <v>15</v>
      </c>
      <c r="C12" s="63"/>
      <c r="D12" s="63"/>
      <c r="E12" s="63"/>
      <c r="F12" s="63"/>
      <c r="G12" s="63"/>
      <c r="H12" s="63"/>
      <c r="I12" s="63"/>
      <c r="J12" s="63"/>
    </row>
    <row r="13" spans="1:18" ht="18" customHeight="1" x14ac:dyDescent="0.2">
      <c r="A13" s="12" t="s">
        <v>2</v>
      </c>
      <c r="B13" s="63" t="s">
        <v>16</v>
      </c>
      <c r="C13" s="63"/>
      <c r="D13" s="63"/>
      <c r="E13" s="63"/>
      <c r="F13" s="63"/>
      <c r="G13" s="63"/>
      <c r="H13" s="63"/>
      <c r="I13" s="63"/>
      <c r="J13" s="63"/>
    </row>
    <row r="14" spans="1:18" ht="16" customHeight="1" x14ac:dyDescent="0.2">
      <c r="A14" s="12"/>
      <c r="B14" s="13"/>
      <c r="C14" s="13"/>
      <c r="D14" s="13"/>
      <c r="E14" s="13"/>
      <c r="F14" s="13"/>
      <c r="G14" s="13"/>
      <c r="H14" s="13"/>
      <c r="I14" s="13"/>
      <c r="J14" s="13"/>
    </row>
    <row r="15" spans="1:18" ht="16" customHeight="1" x14ac:dyDescent="0.2">
      <c r="A15" s="65" t="s">
        <v>17</v>
      </c>
      <c r="B15" s="65"/>
      <c r="C15" s="65"/>
      <c r="D15" s="65"/>
      <c r="E15" s="65"/>
      <c r="F15" s="65"/>
      <c r="G15" s="65"/>
      <c r="H15" s="65"/>
      <c r="I15" s="65"/>
      <c r="J15" s="65"/>
    </row>
    <row r="16" spans="1:18" ht="18" customHeight="1" x14ac:dyDescent="0.2">
      <c r="A16" s="12" t="s">
        <v>2</v>
      </c>
      <c r="B16" s="63" t="s">
        <v>56</v>
      </c>
      <c r="C16" s="63"/>
      <c r="D16" s="63"/>
      <c r="E16" s="63"/>
      <c r="F16" s="63"/>
      <c r="G16" s="63"/>
      <c r="H16" s="63"/>
      <c r="I16" s="63"/>
      <c r="J16" s="63"/>
    </row>
    <row r="17" spans="1:19" s="10" customFormat="1" ht="36" customHeight="1" x14ac:dyDescent="0.2">
      <c r="A17" s="35" t="s">
        <v>2</v>
      </c>
      <c r="B17" s="63" t="s">
        <v>18</v>
      </c>
      <c r="C17" s="63"/>
      <c r="D17" s="63"/>
      <c r="E17" s="63"/>
      <c r="F17" s="63"/>
      <c r="G17" s="63"/>
      <c r="H17" s="63"/>
      <c r="I17" s="63"/>
      <c r="J17" s="63"/>
      <c r="K17" s="63"/>
      <c r="L17" s="63"/>
      <c r="M17" s="63"/>
      <c r="N17" s="63"/>
      <c r="O17" s="29"/>
      <c r="P17" s="29"/>
    </row>
    <row r="18" spans="1:19" ht="36" customHeight="1" x14ac:dyDescent="0.2">
      <c r="A18" s="35" t="s">
        <v>2</v>
      </c>
      <c r="B18" s="63" t="s">
        <v>19</v>
      </c>
      <c r="C18" s="63"/>
      <c r="D18" s="63"/>
      <c r="E18" s="63"/>
      <c r="F18" s="63"/>
      <c r="G18" s="63"/>
      <c r="H18" s="63"/>
      <c r="I18" s="63"/>
      <c r="J18" s="63"/>
      <c r="K18" s="63"/>
      <c r="L18" s="63"/>
      <c r="M18" s="63"/>
      <c r="N18" s="63"/>
      <c r="O18" s="34"/>
      <c r="P18" s="34"/>
      <c r="Q18" s="34"/>
      <c r="R18" s="34"/>
      <c r="S18" s="34"/>
    </row>
    <row r="19" spans="1:19" ht="18" customHeight="1" x14ac:dyDescent="0.2">
      <c r="A19" s="12" t="s">
        <v>2</v>
      </c>
      <c r="B19" s="63" t="s">
        <v>20</v>
      </c>
      <c r="C19" s="63"/>
      <c r="D19" s="63"/>
      <c r="E19" s="63"/>
      <c r="F19" s="63"/>
      <c r="G19" s="63"/>
      <c r="H19" s="63"/>
      <c r="I19" s="63"/>
      <c r="J19" s="63"/>
    </row>
    <row r="20" spans="1:19" ht="18" customHeight="1" x14ac:dyDescent="0.2">
      <c r="A20" s="12" t="s">
        <v>2</v>
      </c>
      <c r="B20" s="63" t="s">
        <v>21</v>
      </c>
      <c r="C20" s="63"/>
      <c r="D20" s="63"/>
      <c r="E20" s="63"/>
      <c r="F20" s="63"/>
      <c r="G20" s="63"/>
      <c r="H20" s="63"/>
      <c r="I20" s="63"/>
      <c r="J20" s="63"/>
      <c r="K20" s="63"/>
      <c r="L20" s="63"/>
      <c r="M20" s="63"/>
    </row>
    <row r="21" spans="1:19" ht="18" customHeight="1" x14ac:dyDescent="0.2">
      <c r="A21" s="12" t="s">
        <v>2</v>
      </c>
      <c r="B21" s="63" t="s">
        <v>22</v>
      </c>
      <c r="C21" s="63"/>
      <c r="D21" s="63"/>
      <c r="E21" s="63"/>
      <c r="F21" s="63"/>
      <c r="G21" s="63"/>
      <c r="H21" s="63"/>
      <c r="I21" s="63"/>
      <c r="J21" s="63"/>
    </row>
    <row r="22" spans="1:19" ht="18" customHeight="1" x14ac:dyDescent="0.2">
      <c r="A22" s="12" t="s">
        <v>2</v>
      </c>
      <c r="B22" s="63" t="s">
        <v>23</v>
      </c>
      <c r="C22" s="63"/>
      <c r="D22" s="63"/>
      <c r="E22" s="63"/>
      <c r="F22" s="63"/>
      <c r="G22" s="63"/>
      <c r="H22" s="63"/>
      <c r="I22" s="63"/>
      <c r="J22" s="63"/>
      <c r="K22" s="63"/>
    </row>
    <row r="23" spans="1:19" ht="18" customHeight="1" x14ac:dyDescent="0.2">
      <c r="A23" s="12" t="s">
        <v>2</v>
      </c>
      <c r="B23" s="63" t="s">
        <v>92</v>
      </c>
      <c r="C23" s="63"/>
      <c r="D23" s="63"/>
      <c r="E23" s="63"/>
      <c r="F23" s="63"/>
      <c r="G23" s="63"/>
      <c r="H23" s="63"/>
      <c r="I23" s="63"/>
      <c r="J23" s="63"/>
    </row>
    <row r="24" spans="1:19" ht="18" customHeight="1" x14ac:dyDescent="0.2">
      <c r="A24" s="12" t="s">
        <v>2</v>
      </c>
      <c r="B24" s="63" t="s">
        <v>24</v>
      </c>
      <c r="C24" s="63"/>
      <c r="D24" s="63"/>
      <c r="E24" s="63"/>
      <c r="F24" s="63"/>
      <c r="G24" s="63"/>
      <c r="H24" s="63"/>
      <c r="I24" s="63"/>
      <c r="J24" s="63"/>
    </row>
    <row r="25" spans="1:19" ht="16" customHeight="1" x14ac:dyDescent="0.2">
      <c r="A25" s="12"/>
      <c r="B25" s="13"/>
      <c r="C25" s="13"/>
      <c r="D25" s="13"/>
      <c r="E25" s="13"/>
      <c r="F25" s="13"/>
      <c r="G25" s="13"/>
      <c r="H25" s="13"/>
      <c r="I25" s="13"/>
      <c r="J25" s="13"/>
    </row>
    <row r="26" spans="1:19" ht="16" customHeight="1" x14ac:dyDescent="0.2">
      <c r="A26" s="65" t="s">
        <v>25</v>
      </c>
      <c r="B26" s="65"/>
      <c r="C26" s="65"/>
      <c r="D26" s="65"/>
      <c r="E26" s="65"/>
      <c r="F26" s="65"/>
      <c r="G26" s="65"/>
      <c r="H26" s="65"/>
      <c r="I26" s="65"/>
      <c r="J26" s="65"/>
    </row>
    <row r="27" spans="1:19" ht="18" customHeight="1" x14ac:dyDescent="0.2">
      <c r="A27" s="12" t="s">
        <v>2</v>
      </c>
      <c r="B27" s="63" t="s">
        <v>26</v>
      </c>
      <c r="C27" s="63"/>
      <c r="D27" s="63"/>
      <c r="E27" s="63"/>
      <c r="F27" s="63"/>
      <c r="G27" s="63"/>
      <c r="H27" s="63"/>
      <c r="I27" s="63"/>
      <c r="J27" s="63"/>
    </row>
    <row r="28" spans="1:19" ht="18" customHeight="1" x14ac:dyDescent="0.2">
      <c r="A28" s="12" t="s">
        <v>2</v>
      </c>
      <c r="B28" s="63" t="s">
        <v>27</v>
      </c>
      <c r="C28" s="63"/>
      <c r="D28" s="63"/>
      <c r="E28" s="63"/>
      <c r="F28" s="63"/>
      <c r="G28" s="63"/>
      <c r="H28" s="63"/>
      <c r="I28" s="63"/>
      <c r="J28" s="63"/>
      <c r="K28" s="63"/>
      <c r="L28" s="63"/>
      <c r="M28" s="63"/>
      <c r="N28" s="63"/>
      <c r="O28" s="63"/>
      <c r="P28" s="63"/>
      <c r="Q28" s="10"/>
      <c r="R28" s="10"/>
      <c r="S28" s="10"/>
    </row>
    <row r="29" spans="1:19" ht="18" customHeight="1" x14ac:dyDescent="0.2">
      <c r="A29" s="12" t="s">
        <v>2</v>
      </c>
      <c r="B29" s="63" t="s">
        <v>28</v>
      </c>
      <c r="C29" s="63"/>
      <c r="D29" s="63"/>
      <c r="E29" s="63"/>
      <c r="F29" s="63"/>
      <c r="G29" s="63"/>
      <c r="H29" s="63"/>
      <c r="I29" s="63"/>
      <c r="J29" s="63"/>
      <c r="K29" s="63"/>
      <c r="L29" s="63"/>
      <c r="M29" s="63"/>
      <c r="N29" s="63"/>
      <c r="O29" s="63"/>
      <c r="P29" s="63"/>
      <c r="Q29" s="63"/>
      <c r="R29" s="63"/>
      <c r="S29" s="63"/>
    </row>
    <row r="30" spans="1:19" ht="18" customHeight="1" x14ac:dyDescent="0.2">
      <c r="A30" s="12" t="s">
        <v>2</v>
      </c>
      <c r="B30" s="63" t="s">
        <v>29</v>
      </c>
      <c r="C30" s="63"/>
      <c r="D30" s="63"/>
      <c r="E30" s="63"/>
      <c r="F30" s="63"/>
      <c r="G30" s="63"/>
      <c r="H30" s="63"/>
      <c r="I30" s="63"/>
      <c r="J30" s="63"/>
    </row>
    <row r="31" spans="1:19" ht="18" customHeight="1" x14ac:dyDescent="0.2">
      <c r="A31" s="12" t="s">
        <v>2</v>
      </c>
      <c r="B31" s="63" t="s">
        <v>30</v>
      </c>
      <c r="C31" s="63"/>
      <c r="D31" s="63"/>
      <c r="E31" s="63"/>
      <c r="F31" s="63"/>
      <c r="G31" s="63"/>
      <c r="H31" s="63"/>
      <c r="I31" s="63"/>
      <c r="J31" s="63"/>
    </row>
    <row r="32" spans="1:19" ht="18" customHeight="1" x14ac:dyDescent="0.2">
      <c r="A32" s="12" t="s">
        <v>2</v>
      </c>
      <c r="B32" s="63" t="s">
        <v>31</v>
      </c>
      <c r="C32" s="63"/>
      <c r="D32" s="63"/>
      <c r="E32" s="63"/>
      <c r="F32" s="63"/>
      <c r="G32" s="63"/>
      <c r="H32" s="63"/>
      <c r="I32" s="63"/>
      <c r="J32" s="63"/>
    </row>
    <row r="33" spans="1:19" ht="16" customHeight="1" x14ac:dyDescent="0.2">
      <c r="A33" s="12"/>
      <c r="B33" s="63"/>
      <c r="C33" s="63"/>
      <c r="D33" s="63"/>
      <c r="E33" s="63"/>
      <c r="F33" s="63"/>
      <c r="G33" s="63"/>
      <c r="H33" s="63"/>
      <c r="I33" s="63"/>
      <c r="J33" s="63"/>
      <c r="K33" s="63"/>
    </row>
    <row r="34" spans="1:19" ht="16" customHeight="1" x14ac:dyDescent="0.2">
      <c r="A34" s="65" t="s">
        <v>32</v>
      </c>
      <c r="B34" s="65"/>
      <c r="C34" s="65"/>
      <c r="D34" s="65"/>
      <c r="E34" s="65"/>
      <c r="F34" s="65"/>
      <c r="G34" s="65"/>
      <c r="H34" s="65"/>
      <c r="I34" s="65"/>
      <c r="J34" s="65"/>
    </row>
    <row r="35" spans="1:19" ht="18" customHeight="1" x14ac:dyDescent="0.2">
      <c r="A35" s="12" t="s">
        <v>2</v>
      </c>
      <c r="B35" s="63" t="s">
        <v>33</v>
      </c>
      <c r="C35" s="63"/>
      <c r="D35" s="63"/>
      <c r="E35" s="63"/>
      <c r="F35" s="63"/>
      <c r="G35" s="63"/>
      <c r="H35" s="63"/>
      <c r="I35" s="63"/>
      <c r="J35" s="63"/>
    </row>
    <row r="36" spans="1:19" ht="18" customHeight="1" x14ac:dyDescent="0.2">
      <c r="A36" s="12" t="s">
        <v>2</v>
      </c>
      <c r="B36" s="63" t="s">
        <v>34</v>
      </c>
      <c r="C36" s="63"/>
      <c r="D36" s="63"/>
      <c r="E36" s="63"/>
      <c r="F36" s="63"/>
      <c r="G36" s="63"/>
      <c r="H36" s="63"/>
      <c r="I36" s="63"/>
      <c r="J36" s="63"/>
      <c r="K36" s="63"/>
      <c r="L36" s="63"/>
      <c r="M36" s="63"/>
      <c r="N36" s="63"/>
      <c r="O36" s="63"/>
      <c r="P36" s="63"/>
      <c r="Q36" s="10"/>
      <c r="R36" s="10"/>
      <c r="S36" s="10"/>
    </row>
    <row r="37" spans="1:19" ht="18" customHeight="1" x14ac:dyDescent="0.2">
      <c r="A37" s="12" t="s">
        <v>2</v>
      </c>
      <c r="B37" s="63" t="s">
        <v>35</v>
      </c>
      <c r="C37" s="63"/>
      <c r="D37" s="63"/>
      <c r="E37" s="63"/>
      <c r="F37" s="63"/>
      <c r="G37" s="63"/>
      <c r="H37" s="63"/>
      <c r="I37" s="63"/>
      <c r="J37" s="63"/>
      <c r="K37" s="63"/>
      <c r="L37" s="63"/>
      <c r="M37" s="63"/>
      <c r="N37" s="63"/>
      <c r="O37" s="63"/>
      <c r="P37" s="63"/>
      <c r="Q37" s="63"/>
      <c r="R37" s="63"/>
      <c r="S37" s="63"/>
    </row>
    <row r="38" spans="1:19" ht="36" customHeight="1" x14ac:dyDescent="0.2">
      <c r="A38" s="35" t="s">
        <v>2</v>
      </c>
      <c r="B38" s="63" t="s">
        <v>137</v>
      </c>
      <c r="C38" s="63"/>
      <c r="D38" s="63"/>
      <c r="E38" s="63"/>
      <c r="F38" s="63"/>
      <c r="G38" s="63"/>
      <c r="H38" s="63"/>
      <c r="I38" s="63"/>
      <c r="J38" s="63"/>
      <c r="K38" s="63"/>
      <c r="L38" s="63"/>
      <c r="M38" s="63"/>
      <c r="N38" s="63"/>
      <c r="O38" s="34"/>
      <c r="P38" s="34"/>
      <c r="Q38" s="34"/>
      <c r="R38" s="34"/>
    </row>
    <row r="39" spans="1:19" ht="18" customHeight="1" x14ac:dyDescent="0.2">
      <c r="A39" s="12" t="s">
        <v>2</v>
      </c>
      <c r="B39" s="63" t="s">
        <v>36</v>
      </c>
      <c r="C39" s="63"/>
      <c r="D39" s="63"/>
      <c r="E39" s="63"/>
      <c r="F39" s="63"/>
      <c r="G39" s="63"/>
      <c r="H39" s="63"/>
      <c r="I39" s="63"/>
      <c r="J39" s="63"/>
    </row>
    <row r="40" spans="1:19" ht="18" customHeight="1" x14ac:dyDescent="0.2">
      <c r="A40" s="12" t="s">
        <v>2</v>
      </c>
      <c r="B40" s="63" t="s">
        <v>58</v>
      </c>
      <c r="C40" s="63"/>
      <c r="D40" s="63"/>
      <c r="E40" s="63"/>
      <c r="F40" s="63"/>
      <c r="G40" s="63"/>
      <c r="H40" s="63"/>
      <c r="I40" s="63"/>
      <c r="J40" s="63"/>
      <c r="K40" s="63"/>
      <c r="L40" s="63"/>
      <c r="M40" s="63"/>
    </row>
    <row r="41" spans="1:19" ht="18" customHeight="1" x14ac:dyDescent="0.2">
      <c r="A41" s="12" t="s">
        <v>2</v>
      </c>
      <c r="B41" s="63" t="s">
        <v>37</v>
      </c>
      <c r="C41" s="63"/>
      <c r="D41" s="63"/>
      <c r="E41" s="63"/>
      <c r="F41" s="63"/>
      <c r="G41" s="63"/>
      <c r="H41" s="63"/>
      <c r="I41" s="63"/>
      <c r="J41" s="63"/>
      <c r="K41" s="63"/>
    </row>
    <row r="42" spans="1:19" ht="18" customHeight="1" x14ac:dyDescent="0.2">
      <c r="A42" s="12" t="s">
        <v>2</v>
      </c>
      <c r="B42" s="63" t="s">
        <v>38</v>
      </c>
      <c r="C42" s="63"/>
      <c r="D42" s="63"/>
      <c r="E42" s="63"/>
      <c r="F42" s="63"/>
      <c r="G42" s="63"/>
      <c r="H42" s="63"/>
      <c r="I42" s="63"/>
      <c r="J42" s="63"/>
    </row>
    <row r="43" spans="1:19" ht="18" customHeight="1" x14ac:dyDescent="0.2">
      <c r="A43" s="12" t="s">
        <v>2</v>
      </c>
      <c r="B43" s="63" t="s">
        <v>39</v>
      </c>
      <c r="C43" s="63"/>
      <c r="D43" s="63"/>
      <c r="E43" s="63"/>
      <c r="F43" s="63"/>
      <c r="G43" s="63"/>
      <c r="H43" s="63"/>
      <c r="I43" s="63"/>
      <c r="J43" s="63"/>
    </row>
    <row r="44" spans="1:19" ht="18" customHeight="1" x14ac:dyDescent="0.2">
      <c r="A44" s="12" t="s">
        <v>2</v>
      </c>
      <c r="B44" s="63" t="s">
        <v>40</v>
      </c>
      <c r="C44" s="63"/>
      <c r="D44" s="63"/>
      <c r="E44" s="63"/>
      <c r="F44" s="63"/>
      <c r="G44" s="63"/>
      <c r="H44" s="63"/>
      <c r="I44" s="63"/>
      <c r="J44" s="63"/>
    </row>
    <row r="45" spans="1:19" ht="16" customHeight="1" x14ac:dyDescent="0.2"/>
    <row r="46" spans="1:19" ht="16" customHeight="1" x14ac:dyDescent="0.2">
      <c r="A46" s="65" t="s">
        <v>41</v>
      </c>
      <c r="B46" s="65"/>
      <c r="C46" s="65"/>
      <c r="D46" s="65"/>
      <c r="E46" s="65"/>
      <c r="F46" s="65"/>
      <c r="G46" s="65"/>
      <c r="H46" s="65"/>
      <c r="I46" s="65"/>
      <c r="J46" s="65"/>
    </row>
    <row r="47" spans="1:19" ht="18" customHeight="1" x14ac:dyDescent="0.2">
      <c r="A47" s="12" t="s">
        <v>2</v>
      </c>
      <c r="B47" s="63" t="s">
        <v>42</v>
      </c>
      <c r="C47" s="63"/>
      <c r="D47" s="63"/>
      <c r="E47" s="63"/>
      <c r="F47" s="63"/>
      <c r="G47" s="63"/>
      <c r="H47" s="63"/>
      <c r="I47" s="63"/>
      <c r="J47" s="63"/>
    </row>
    <row r="48" spans="1:19" ht="18" customHeight="1" x14ac:dyDescent="0.2">
      <c r="A48" s="12" t="s">
        <v>2</v>
      </c>
      <c r="B48" s="63" t="s">
        <v>43</v>
      </c>
      <c r="C48" s="63"/>
      <c r="D48" s="63"/>
      <c r="E48" s="63"/>
      <c r="F48" s="63"/>
      <c r="G48" s="63"/>
      <c r="H48" s="63"/>
      <c r="I48" s="63"/>
      <c r="J48" s="63"/>
      <c r="K48" s="63"/>
      <c r="L48" s="63"/>
      <c r="M48" s="63"/>
      <c r="N48" s="63"/>
      <c r="O48" s="63"/>
      <c r="P48" s="63"/>
      <c r="Q48" s="10"/>
      <c r="R48" s="10"/>
      <c r="S48" s="10"/>
    </row>
    <row r="49" spans="1:19" ht="18" customHeight="1" x14ac:dyDescent="0.2">
      <c r="A49" s="12" t="s">
        <v>2</v>
      </c>
      <c r="B49" s="63" t="s">
        <v>138</v>
      </c>
      <c r="C49" s="63"/>
      <c r="D49" s="63"/>
      <c r="E49" s="63"/>
      <c r="F49" s="63"/>
      <c r="G49" s="63"/>
      <c r="H49" s="63"/>
      <c r="I49" s="63"/>
      <c r="J49" s="63"/>
      <c r="K49" s="63"/>
      <c r="L49" s="63"/>
      <c r="M49" s="63"/>
      <c r="N49" s="63"/>
      <c r="O49" s="63"/>
      <c r="P49" s="63"/>
      <c r="Q49" s="63"/>
      <c r="R49" s="63"/>
      <c r="S49" s="63"/>
    </row>
    <row r="50" spans="1:19" ht="18" customHeight="1" x14ac:dyDescent="0.2">
      <c r="A50" s="12" t="s">
        <v>2</v>
      </c>
      <c r="B50" s="63" t="s">
        <v>44</v>
      </c>
      <c r="C50" s="63"/>
      <c r="D50" s="63"/>
      <c r="E50" s="63"/>
      <c r="F50" s="63"/>
      <c r="G50" s="63"/>
      <c r="H50" s="63"/>
      <c r="I50" s="63"/>
      <c r="J50" s="63"/>
      <c r="K50" s="63"/>
      <c r="L50" s="63"/>
      <c r="M50" s="63"/>
      <c r="N50" s="63"/>
      <c r="O50" s="63"/>
      <c r="P50" s="63"/>
      <c r="Q50" s="63"/>
      <c r="R50" s="63"/>
    </row>
    <row r="51" spans="1:19" ht="18" customHeight="1" x14ac:dyDescent="0.2">
      <c r="A51" s="12" t="s">
        <v>2</v>
      </c>
      <c r="B51" s="63" t="s">
        <v>45</v>
      </c>
      <c r="C51" s="63"/>
      <c r="D51" s="63"/>
      <c r="E51" s="63"/>
      <c r="F51" s="63"/>
      <c r="G51" s="63"/>
      <c r="H51" s="63"/>
      <c r="I51" s="63"/>
      <c r="J51" s="63"/>
    </row>
    <row r="52" spans="1:19" ht="16" customHeight="1" x14ac:dyDescent="0.2">
      <c r="A52" s="12"/>
      <c r="B52" s="63"/>
      <c r="C52" s="63"/>
      <c r="D52" s="63"/>
      <c r="E52" s="63"/>
      <c r="F52" s="63"/>
      <c r="G52" s="63"/>
      <c r="H52" s="63"/>
      <c r="I52" s="63"/>
      <c r="J52" s="63"/>
    </row>
    <row r="53" spans="1:19" ht="16" customHeight="1" x14ac:dyDescent="0.2">
      <c r="A53" s="65" t="s">
        <v>46</v>
      </c>
      <c r="B53" s="65"/>
      <c r="C53" s="65"/>
      <c r="D53" s="65"/>
      <c r="E53" s="65"/>
      <c r="F53" s="65"/>
      <c r="G53" s="65"/>
      <c r="H53" s="65"/>
      <c r="I53" s="65"/>
      <c r="J53" s="65"/>
    </row>
    <row r="54" spans="1:19" ht="18" customHeight="1" x14ac:dyDescent="0.2">
      <c r="A54" s="12" t="s">
        <v>2</v>
      </c>
      <c r="B54" s="63" t="s">
        <v>57</v>
      </c>
      <c r="C54" s="63"/>
      <c r="D54" s="63"/>
      <c r="E54" s="63"/>
      <c r="F54" s="63"/>
      <c r="G54" s="63"/>
      <c r="H54" s="63"/>
      <c r="I54" s="63"/>
      <c r="J54" s="63"/>
      <c r="K54" s="63"/>
      <c r="L54" s="63"/>
    </row>
    <row r="55" spans="1:19" ht="16" customHeight="1" x14ac:dyDescent="0.2"/>
    <row r="56" spans="1:19" ht="16" customHeight="1" x14ac:dyDescent="0.2">
      <c r="A56" s="65" t="s">
        <v>47</v>
      </c>
      <c r="B56" s="65"/>
      <c r="C56" s="65"/>
      <c r="D56" s="65"/>
      <c r="E56" s="65"/>
      <c r="F56" s="65"/>
      <c r="G56" s="65"/>
      <c r="H56" s="65"/>
      <c r="I56" s="65"/>
      <c r="J56" s="65"/>
    </row>
    <row r="57" spans="1:19" ht="18" customHeight="1" x14ac:dyDescent="0.2">
      <c r="A57" s="12" t="s">
        <v>2</v>
      </c>
      <c r="B57" s="63" t="s">
        <v>48</v>
      </c>
      <c r="C57" s="63"/>
      <c r="D57" s="63"/>
      <c r="E57" s="63"/>
      <c r="F57" s="63"/>
      <c r="G57" s="63"/>
      <c r="H57" s="63"/>
      <c r="I57" s="63"/>
      <c r="J57" s="63"/>
    </row>
    <row r="58" spans="1:19" ht="18" customHeight="1" x14ac:dyDescent="0.2">
      <c r="A58" s="12" t="s">
        <v>2</v>
      </c>
      <c r="B58" s="63" t="s">
        <v>49</v>
      </c>
      <c r="C58" s="63"/>
      <c r="D58" s="63"/>
      <c r="E58" s="63"/>
      <c r="F58" s="63"/>
      <c r="G58" s="63"/>
      <c r="H58" s="63"/>
      <c r="I58" s="63"/>
      <c r="J58" s="63"/>
      <c r="K58" s="63"/>
      <c r="L58" s="63"/>
      <c r="M58" s="63"/>
      <c r="N58" s="63"/>
      <c r="O58" s="63"/>
      <c r="P58" s="63"/>
      <c r="Q58" s="10"/>
      <c r="R58" s="10"/>
      <c r="S58" s="10"/>
    </row>
    <row r="59" spans="1:19" ht="16" customHeight="1" x14ac:dyDescent="0.2"/>
    <row r="60" spans="1:19" ht="16" customHeight="1" x14ac:dyDescent="0.2">
      <c r="A60" s="65" t="s">
        <v>50</v>
      </c>
      <c r="B60" s="65"/>
      <c r="C60" s="65"/>
      <c r="D60" s="65"/>
      <c r="E60" s="65"/>
      <c r="F60" s="65"/>
      <c r="G60" s="65"/>
      <c r="H60" s="65"/>
      <c r="I60" s="65"/>
      <c r="J60" s="65"/>
    </row>
    <row r="61" spans="1:19" ht="18" customHeight="1" x14ac:dyDescent="0.2">
      <c r="A61" s="12" t="s">
        <v>2</v>
      </c>
      <c r="B61" s="63" t="s">
        <v>51</v>
      </c>
      <c r="C61" s="63"/>
      <c r="D61" s="63"/>
      <c r="E61" s="63"/>
      <c r="F61" s="63"/>
      <c r="G61" s="63"/>
      <c r="H61" s="63"/>
      <c r="I61" s="63"/>
      <c r="J61" s="63"/>
    </row>
    <row r="62" spans="1:19" ht="18" customHeight="1" x14ac:dyDescent="0.2">
      <c r="A62" s="12" t="s">
        <v>2</v>
      </c>
      <c r="B62" s="63" t="s">
        <v>52</v>
      </c>
      <c r="C62" s="63"/>
      <c r="D62" s="63"/>
      <c r="E62" s="63"/>
      <c r="F62" s="63"/>
      <c r="G62" s="63"/>
      <c r="H62" s="63"/>
      <c r="I62" s="63"/>
      <c r="J62" s="63"/>
      <c r="K62" s="63"/>
      <c r="L62" s="63"/>
      <c r="M62" s="63"/>
      <c r="N62" s="63"/>
      <c r="O62" s="63"/>
      <c r="P62" s="63"/>
      <c r="Q62" s="10"/>
      <c r="R62" s="10"/>
      <c r="S62" s="10"/>
    </row>
    <row r="63" spans="1:19" ht="18" customHeight="1" x14ac:dyDescent="0.2">
      <c r="A63" s="12" t="s">
        <v>2</v>
      </c>
      <c r="B63" s="63" t="s">
        <v>53</v>
      </c>
      <c r="C63" s="63"/>
      <c r="D63" s="63"/>
      <c r="E63" s="63"/>
      <c r="F63" s="63"/>
      <c r="G63" s="63"/>
      <c r="H63" s="63"/>
      <c r="I63" s="63"/>
      <c r="J63" s="63"/>
      <c r="K63" s="63"/>
      <c r="L63" s="63"/>
      <c r="M63" s="63"/>
      <c r="N63" s="63"/>
      <c r="O63" s="63"/>
      <c r="P63" s="63"/>
      <c r="Q63" s="63"/>
      <c r="R63" s="63"/>
      <c r="S63" s="63"/>
    </row>
    <row r="64" spans="1:19" ht="18" customHeight="1" x14ac:dyDescent="0.2">
      <c r="A64" s="12" t="s">
        <v>2</v>
      </c>
      <c r="B64" s="63" t="s">
        <v>54</v>
      </c>
      <c r="C64" s="63"/>
      <c r="D64" s="63"/>
      <c r="E64" s="63"/>
      <c r="F64" s="63"/>
      <c r="G64" s="63"/>
      <c r="H64" s="63"/>
      <c r="I64" s="63"/>
      <c r="J64" s="63"/>
      <c r="K64" s="63"/>
      <c r="L64" s="63"/>
      <c r="M64" s="63"/>
      <c r="N64" s="63"/>
      <c r="O64" s="63"/>
      <c r="P64" s="63"/>
      <c r="Q64" s="63"/>
      <c r="R64" s="63"/>
    </row>
    <row r="65" spans="1:10" ht="16" customHeight="1" x14ac:dyDescent="0.2">
      <c r="A65" s="12"/>
      <c r="B65" s="63"/>
      <c r="C65" s="63"/>
      <c r="D65" s="63"/>
      <c r="E65" s="63"/>
      <c r="F65" s="63"/>
      <c r="G65" s="63"/>
      <c r="H65" s="63"/>
      <c r="I65" s="63"/>
      <c r="J65" s="63"/>
    </row>
  </sheetData>
  <mergeCells count="60">
    <mergeCell ref="B11:M11"/>
    <mergeCell ref="K1:L1"/>
    <mergeCell ref="M1:N1"/>
    <mergeCell ref="B17:N17"/>
    <mergeCell ref="B18:N18"/>
    <mergeCell ref="B38:N38"/>
    <mergeCell ref="A15:J15"/>
    <mergeCell ref="A4:J4"/>
    <mergeCell ref="B5:J5"/>
    <mergeCell ref="B6:J6"/>
    <mergeCell ref="B7:J7"/>
    <mergeCell ref="B8:J8"/>
    <mergeCell ref="B9:J9"/>
    <mergeCell ref="B10:J10"/>
    <mergeCell ref="B12:J12"/>
    <mergeCell ref="B13:J13"/>
    <mergeCell ref="B28:P28"/>
    <mergeCell ref="B16:J16"/>
    <mergeCell ref="B19:J19"/>
    <mergeCell ref="B21:J21"/>
    <mergeCell ref="B20:M20"/>
    <mergeCell ref="B29:S29"/>
    <mergeCell ref="B30:J30"/>
    <mergeCell ref="B31:J31"/>
    <mergeCell ref="B32:J32"/>
    <mergeCell ref="B22:K22"/>
    <mergeCell ref="B23:J23"/>
    <mergeCell ref="B24:J24"/>
    <mergeCell ref="A26:J26"/>
    <mergeCell ref="B27:J27"/>
    <mergeCell ref="B33:K33"/>
    <mergeCell ref="A34:J34"/>
    <mergeCell ref="B35:J35"/>
    <mergeCell ref="B36:P36"/>
    <mergeCell ref="B37:S37"/>
    <mergeCell ref="B39:J39"/>
    <mergeCell ref="B40:M40"/>
    <mergeCell ref="A53:J53"/>
    <mergeCell ref="B41:K41"/>
    <mergeCell ref="B42:J42"/>
    <mergeCell ref="B43:J43"/>
    <mergeCell ref="B44:J44"/>
    <mergeCell ref="A46:J46"/>
    <mergeCell ref="B47:J47"/>
    <mergeCell ref="B62:P62"/>
    <mergeCell ref="B63:S63"/>
    <mergeCell ref="B64:R64"/>
    <mergeCell ref="B65:J65"/>
    <mergeCell ref="Q1:R1"/>
    <mergeCell ref="B54:L54"/>
    <mergeCell ref="A56:J56"/>
    <mergeCell ref="B57:J57"/>
    <mergeCell ref="B58:P58"/>
    <mergeCell ref="A60:J60"/>
    <mergeCell ref="B61:J61"/>
    <mergeCell ref="B48:P48"/>
    <mergeCell ref="B49:S49"/>
    <mergeCell ref="B50:R50"/>
    <mergeCell ref="B51:J51"/>
    <mergeCell ref="B52:J52"/>
  </mergeCells>
  <pageMargins left="0.7" right="0.7" top="0.75" bottom="0.75" header="0.3" footer="0.3"/>
  <pageSetup orientation="portrait" horizontalDpi="0"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52"/>
  <dimension ref="K1:T4"/>
  <sheetViews>
    <sheetView showGridLines="0" zoomScale="90" zoomScaleNormal="90" workbookViewId="0">
      <selection activeCell="N27" sqref="N27"/>
    </sheetView>
  </sheetViews>
  <sheetFormatPr baseColWidth="10" defaultRowHeight="16" x14ac:dyDescent="0.2"/>
  <cols>
    <col min="11" max="11" width="2.6640625" customWidth="1"/>
  </cols>
  <sheetData>
    <row r="1" spans="11:20" ht="72" customHeight="1" x14ac:dyDescent="0.2">
      <c r="K1" s="53" t="s">
        <v>134</v>
      </c>
      <c r="L1" s="54"/>
      <c r="M1" s="52"/>
      <c r="N1" s="52"/>
      <c r="O1" s="1"/>
      <c r="Q1" s="15"/>
      <c r="R1" s="21"/>
      <c r="S1" s="64"/>
      <c r="T1" s="64"/>
    </row>
    <row r="2" spans="11:20" ht="19" customHeight="1" x14ac:dyDescent="0.2">
      <c r="K2" s="36"/>
      <c r="P2" s="66"/>
      <c r="Q2" s="1"/>
      <c r="R2" s="23"/>
      <c r="S2" s="23"/>
    </row>
    <row r="3" spans="11:20" ht="16" customHeight="1" x14ac:dyDescent="0.2">
      <c r="K3" s="52"/>
      <c r="P3" s="66"/>
      <c r="R3" s="23"/>
      <c r="S3" s="23"/>
    </row>
    <row r="4" spans="11:20" ht="16" customHeight="1" x14ac:dyDescent="0.2">
      <c r="K4" s="52"/>
      <c r="P4" s="66"/>
      <c r="R4" s="23"/>
      <c r="S4" s="23"/>
    </row>
  </sheetData>
  <sheetProtection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12</vt:i4>
      </vt:variant>
      <vt:variant>
        <vt:lpstr>Rangos con nombre</vt:lpstr>
      </vt:variant>
      <vt:variant>
        <vt:i4>3</vt:i4>
      </vt:variant>
    </vt:vector>
  </HeadingPairs>
  <TitlesOfParts>
    <vt:vector size="15" baseType="lpstr">
      <vt:lpstr>Inicio</vt:lpstr>
      <vt:lpstr>Agradecimiento</vt:lpstr>
      <vt:lpstr>Contenido</vt:lpstr>
      <vt:lpstr>Empresas Participantes</vt:lpstr>
      <vt:lpstr>Estudio de Mercado General</vt:lpstr>
      <vt:lpstr>Distribución de Compensación</vt:lpstr>
      <vt:lpstr>Market Analyzer</vt:lpstr>
      <vt:lpstr>Explicación TCR</vt:lpstr>
      <vt:lpstr>Acerca de AC Consulting</vt:lpstr>
      <vt:lpstr>Acerca de AC Consulting </vt:lpstr>
      <vt:lpstr>Portafolio de Productos</vt:lpstr>
      <vt:lpstr>Contacto</vt:lpstr>
      <vt:lpstr>Agradecimiento!Área_de_impresión</vt:lpstr>
      <vt:lpstr>Contenido!Área_de_impresión</vt:lpstr>
      <vt:lpstr>'Empresas Participantes'!Área_de_impresión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2021-10-08T21:52:26Z</cp:lastPrinted>
  <dcterms:created xsi:type="dcterms:W3CDTF">2019-08-15T15:58:23Z</dcterms:created>
  <dcterms:modified xsi:type="dcterms:W3CDTF">2026-09-27T02:28:49Z</dcterms:modified>
</cp:coreProperties>
</file>