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7299BACD-9A0E-DD4E-91AE-B6DC094BCF36}" xr6:coauthVersionLast="47" xr6:coauthVersionMax="47" xr10:uidLastSave="{00000000-0000-0000-0000-000000000000}"/>
  <bookViews>
    <workbookView xWindow="0" yWindow="600" windowWidth="38400" windowHeight="19500" xr2:uid="{00000000-000D-0000-FFFF-FFFF00000000}"/>
  </bookViews>
  <sheets>
    <sheet name="Inicio" sheetId="219" r:id="rId1"/>
    <sheet name="Agradecimiento" sheetId="169" r:id="rId2"/>
    <sheet name="Contenido" sheetId="170" r:id="rId3"/>
    <sheet name="Empresas Participantes" sheetId="214" r:id="rId4"/>
    <sheet name="Estudio de Mercado General" sheetId="212" r:id="rId5"/>
    <sheet name="Distribución de Compensación" sheetId="220" r:id="rId6"/>
    <sheet name="Market Analyzer" sheetId="134" r:id="rId7"/>
    <sheet name="Explicación TCR" sheetId="221" r:id="rId8"/>
    <sheet name="Acerca de AC Consulting" sheetId="213" r:id="rId9"/>
    <sheet name="Acerca de AC Consulting " sheetId="173" r:id="rId10"/>
    <sheet name="Portafolio de Productos" sheetId="174" r:id="rId11"/>
    <sheet name="Contacto" sheetId="175" r:id="rId12"/>
  </sheets>
  <definedNames>
    <definedName name="_xlnm._FilterDatabase" localSheetId="6" hidden="1">'Market Analyzer'!$A$6:$H$6</definedName>
    <definedName name="_xlchart.v1.0" hidden="1">'Empresas Participantes'!$X$2:$X$4</definedName>
    <definedName name="_xlchart.v1.1" hidden="1">'Empresas Participantes'!$Z$2:$Z$4</definedName>
    <definedName name="_xlchart.v1.10" hidden="1">'Empresas Participantes'!$T$2:$T$33</definedName>
    <definedName name="_xlchart.v1.11" hidden="1">'Empresas Participantes'!$V$2:$V$33</definedName>
    <definedName name="_xlchart.v1.12" hidden="1">'Empresas Participantes'!$AC$2:$AC$4</definedName>
    <definedName name="_xlchart.v1.13" hidden="1">'Empresas Participantes'!$AE$2:$AE$4</definedName>
    <definedName name="_xlchart.v1.14" hidden="1">'Empresas Participantes'!$AA$2:$AA$31</definedName>
    <definedName name="_xlchart.v1.15" hidden="1">'Empresas Participantes'!$Y$2:$Y$31</definedName>
    <definedName name="_xlchart.v1.2" hidden="1">'Empresas Participantes'!$X$2:$X$4</definedName>
    <definedName name="_xlchart.v1.3" hidden="1">'Empresas Participantes'!$Z$2:$Z$4</definedName>
    <definedName name="_xlchart.v1.4" hidden="1">'Empresas Participantes'!$T$2:$T$33</definedName>
    <definedName name="_xlchart.v1.5" hidden="1">'Empresas Participantes'!$V$2:$V$33</definedName>
    <definedName name="_xlchart.v1.6" hidden="1">'Empresas Participantes'!$AC$2:$AC$4</definedName>
    <definedName name="_xlchart.v1.7" hidden="1">'Empresas Participantes'!$AE$2:$AE$4</definedName>
    <definedName name="_xlchart.v1.8" hidden="1">'Empresas Participantes'!$AC$2:$AC$4</definedName>
    <definedName name="_xlchart.v1.9" hidden="1">'Empresas Participantes'!$AE$2:$AE$4</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Contenido!$A$1:$N$12</definedName>
    <definedName name="_xlnm.Print_Area" localSheetId="3">'Empresas Participantes'!$A$1:$F$63</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214" l="1"/>
  <c r="Z4" i="214" s="1"/>
  <c r="Y3" i="214"/>
  <c r="Z3" i="214" s="1"/>
  <c r="Y2" i="214"/>
  <c r="Z2" i="214" s="1"/>
  <c r="U21" i="214"/>
  <c r="V21" i="214" s="1"/>
  <c r="U20" i="214"/>
  <c r="V20" i="214" s="1"/>
  <c r="U19" i="214"/>
  <c r="V19" i="214" s="1"/>
  <c r="U18" i="214"/>
  <c r="V18" i="214" s="1"/>
  <c r="U17" i="214"/>
  <c r="V17" i="214" s="1"/>
  <c r="U16" i="214"/>
  <c r="V16" i="214" s="1"/>
  <c r="U15" i="214"/>
  <c r="V15" i="214" s="1"/>
  <c r="U14" i="214"/>
  <c r="V14" i="214" s="1"/>
  <c r="U13" i="214"/>
  <c r="V13" i="214" s="1"/>
  <c r="U12" i="214"/>
  <c r="V12" i="214" s="1"/>
  <c r="U11" i="214"/>
  <c r="V11" i="214" s="1"/>
  <c r="U10" i="214"/>
  <c r="V10" i="214" s="1"/>
  <c r="U9" i="214"/>
  <c r="V9" i="214" s="1"/>
  <c r="U8" i="214"/>
  <c r="V8" i="214" s="1"/>
  <c r="U7" i="214"/>
  <c r="V7" i="214" s="1"/>
  <c r="U6" i="214"/>
  <c r="V6" i="214" s="1"/>
  <c r="U5" i="214"/>
  <c r="V5" i="214" s="1"/>
  <c r="U4" i="214"/>
  <c r="V4" i="214" s="1"/>
  <c r="U3" i="214"/>
  <c r="V3" i="214" s="1"/>
  <c r="U2" i="214"/>
  <c r="V2" i="214" s="1"/>
  <c r="E21" i="221"/>
  <c r="H20" i="221"/>
  <c r="G20" i="221"/>
  <c r="F20" i="221"/>
  <c r="H19" i="221"/>
  <c r="G19" i="221"/>
  <c r="F19" i="221"/>
  <c r="H18" i="221"/>
  <c r="H21" i="221" s="1"/>
  <c r="G18" i="221"/>
  <c r="G21" i="221" s="1"/>
  <c r="F18" i="221"/>
  <c r="F21" i="221" s="1"/>
</calcChain>
</file>

<file path=xl/sharedStrings.xml><?xml version="1.0" encoding="utf-8"?>
<sst xmlns="http://schemas.openxmlformats.org/spreadsheetml/2006/main" count="1507" uniqueCount="507">
  <si>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</si>
  <si>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</si>
  <si>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</si>
  <si>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</si>
  <si>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</si>
  <si>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</si>
  <si>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</si>
  <si>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</si>
  <si>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</si>
  <si>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</si>
  <si>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</si>
  <si>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</si>
  <si>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</si>
  <si>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</si>
  <si>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</si>
  <si>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</si>
  <si>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</si>
  <si>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</si>
  <si>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</si>
  <si>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</si>
  <si>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</si>
  <si>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</si>
  <si>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</si>
  <si>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</si>
  <si>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</si>
  <si>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</si>
  <si>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</si>
  <si>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</si>
  <si>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</si>
  <si>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</si>
  <si>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</si>
  <si>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</si>
  <si>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</si>
  <si>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</si>
  <si>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</si>
  <si>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</si>
  <si>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</si>
  <si>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</si>
  <si>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</si>
  <si>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</si>
  <si>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</si>
  <si>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</si>
  <si>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</si>
  <si>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</si>
  <si>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</si>
  <si>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</si>
  <si>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</si>
  <si>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</si>
  <si>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</si>
  <si>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</si>
  <si>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</si>
  <si>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</si>
  <si>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</si>
  <si>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</si>
  <si>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</si>
  <si>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</si>
  <si>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</si>
  <si>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</si>
  <si>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</si>
  <si>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</si>
  <si>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</si>
  <si>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</si>
  <si>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</si>
  <si>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</si>
  <si>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</si>
  <si>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</si>
  <si>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</si>
  <si>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</si>
  <si>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</si>
  <si>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</si>
  <si>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</si>
  <si>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</si>
  <si>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</si>
  <si>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</si>
  <si>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</si>
  <si>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</si>
  <si>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</si>
  <si>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</si>
  <si>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</si>
  <si>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</si>
  <si>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</si>
  <si>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</si>
  <si>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</si>
  <si>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</si>
  <si>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</si>
  <si>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</si>
  <si>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</si>
  <si>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</si>
  <si>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</si>
  <si>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</si>
  <si>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</si>
  <si>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</si>
  <si>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</si>
  <si>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</si>
  <si>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</si>
  <si>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</si>
  <si>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</si>
  <si>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</si>
  <si>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</si>
  <si>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</si>
  <si>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</si>
  <si>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</si>
  <si>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</si>
  <si>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</si>
  <si>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</si>
  <si>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</si>
  <si>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</si>
  <si>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</si>
  <si>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</si>
  <si>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</si>
  <si>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</si>
  <si>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</si>
  <si>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</si>
  <si>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</si>
  <si>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</si>
  <si>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</si>
  <si>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</si>
  <si>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</si>
  <si>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</si>
  <si>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</si>
  <si>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</si>
  <si>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</si>
  <si>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</si>
  <si>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</si>
  <si>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</si>
  <si>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</si>
  <si>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</si>
  <si>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</si>
  <si>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</si>
  <si>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</si>
  <si>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</si>
  <si>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</si>
  <si>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</si>
  <si>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</si>
  <si>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</si>
  <si>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</si>
  <si>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</si>
  <si>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</si>
  <si>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</si>
  <si>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</si>
  <si>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</si>
  <si>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</si>
  <si>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</si>
  <si>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</si>
  <si>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</si>
  <si>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</si>
  <si>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</si>
  <si>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</si>
  <si>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</si>
  <si>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</si>
  <si>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</si>
  <si>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</si>
  <si>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</si>
  <si>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JULIO 2026</t>
  </si>
  <si>
    <t>CLIENTE:</t>
  </si>
  <si>
    <t>Alimentos Alvarigua</t>
  </si>
  <si>
    <t>Total: 129 empresas</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</si>
  <si>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</si>
  <si>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</si>
  <si>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</si>
  <si>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</si>
  <si>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</si>
  <si>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</si>
  <si>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</si>
  <si>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</si>
  <si>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</si>
  <si>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</si>
  <si>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</si>
  <si>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</si>
  <si>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</si>
  <si>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</si>
  <si>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</si>
  <si>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</si>
  <si>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</si>
  <si>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</si>
  <si>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</si>
  <si>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</si>
  <si>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</si>
  <si>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</si>
  <si>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</si>
  <si>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</si>
  <si>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</si>
  <si>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</si>
  <si>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</si>
  <si>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</si>
  <si>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</si>
  <si>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</si>
  <si>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</si>
  <si>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</si>
  <si>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</si>
  <si>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</si>
  <si>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</si>
  <si>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</si>
  <si>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</si>
  <si>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</si>
  <si>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</si>
  <si>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</si>
  <si>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</si>
  <si>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</si>
  <si>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</si>
  <si>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</si>
  <si>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</si>
  <si>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</si>
  <si>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</si>
  <si>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</si>
  <si>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</si>
  <si>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</si>
  <si>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</si>
  <si>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</si>
  <si>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</si>
  <si>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</si>
  <si>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</si>
  <si>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</si>
  <si>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</si>
  <si>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</si>
  <si>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</si>
  <si>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</si>
  <si>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</si>
  <si>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</si>
  <si>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</si>
  <si>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</si>
  <si>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</si>
  <si>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</si>
  <si>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</si>
  <si>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</si>
  <si>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</si>
  <si>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</si>
  <si>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</si>
  <si>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</si>
  <si>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</si>
  <si>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</si>
  <si>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</si>
  <si>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</si>
  <si>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</si>
  <si>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</si>
  <si>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</si>
  <si>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</si>
  <si>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</si>
  <si>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</si>
  <si>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</si>
  <si>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</si>
  <si>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</si>
  <si>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</si>
  <si>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</si>
  <si>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</si>
  <si>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</si>
  <si>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</si>
  <si>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</si>
  <si>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</si>
  <si>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</si>
  <si>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</si>
  <si>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</si>
  <si>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</si>
  <si>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</si>
  <si>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</si>
  <si>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</si>
  <si>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</si>
  <si>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</si>
  <si>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</si>
  <si>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</si>
  <si>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Encuesta Nacional de Salarios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</si>
  <si>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</si>
  <si>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</si>
  <si>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</si>
  <si>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</si>
  <si>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</si>
  <si>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</si>
  <si>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</si>
  <si>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</si>
  <si>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</si>
  <si>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</si>
  <si>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</si>
  <si>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</si>
  <si>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</si>
  <si>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</si>
  <si>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</si>
  <si>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</si>
  <si>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</si>
  <si>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</si>
  <si>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</si>
  <si>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</si>
  <si>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</si>
  <si>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</si>
  <si>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</si>
  <si>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</si>
  <si>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</si>
  <si>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</si>
  <si>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</si>
  <si>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</si>
  <si>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</si>
  <si>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</si>
  <si>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</si>
  <si>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</si>
  <si>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</si>
  <si>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</si>
  <si>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</si>
  <si>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</si>
  <si>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</si>
  <si>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</si>
  <si>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Administrador de Contratos</t>
  </si>
  <si>
    <t>Ajustador / Perito (Autos / Patrimonial)</t>
  </si>
  <si>
    <t>Analista / Especialista en Seguridad y Salud Laboral</t>
  </si>
  <si>
    <t>Analista de Calidad de Servicio</t>
  </si>
  <si>
    <t>Analista de Costos</t>
  </si>
  <si>
    <t>Analista de Cumplimiento</t>
  </si>
  <si>
    <t>Analista de Inteligencia de Mercados</t>
  </si>
  <si>
    <t>Analista de PMO</t>
  </si>
  <si>
    <t>Analista de Reclamos</t>
  </si>
  <si>
    <t>Analista de Reposición</t>
  </si>
  <si>
    <t>Analista de Suscripción</t>
  </si>
  <si>
    <t>Analista de Trade Marketing</t>
  </si>
  <si>
    <t>Analista Integral (Suscripción / Reclamos)</t>
  </si>
  <si>
    <t>Arquitecto</t>
  </si>
  <si>
    <t>Asesor / Ejecutivo Comercial B2B (Venta Consultiva)</t>
  </si>
  <si>
    <t>Asistente / Auxiliar de Mantenimiento Industrial</t>
  </si>
  <si>
    <t>Ayudante Técnico</t>
  </si>
  <si>
    <t>Bioanalista / Técnico de Laboratorio</t>
  </si>
  <si>
    <t>Camarero(a) de Habitaciones</t>
  </si>
  <si>
    <t>CEO</t>
  </si>
  <si>
    <t>Chef</t>
  </si>
  <si>
    <t>Chief Commercial Officer (CCO)</t>
  </si>
  <si>
    <t>Chofer Repartidor / Conductor de Ruta</t>
  </si>
  <si>
    <t>Científico de Datos</t>
  </si>
  <si>
    <t>Cocinero de 1era</t>
  </si>
  <si>
    <t>Conductor Ejecutivo</t>
  </si>
  <si>
    <t>Content Manager / Copywriter</t>
  </si>
  <si>
    <t>Contralor General</t>
  </si>
  <si>
    <t>Coord. / Supervisor de Desarrollo</t>
  </si>
  <si>
    <t>Coordinador / Supervisor de Mercadeo</t>
  </si>
  <si>
    <t>Coordinador Administrativo de Sucursal</t>
  </si>
  <si>
    <t>Coordinador de Asuntos Legales</t>
  </si>
  <si>
    <t>Coordinador de Enfermería</t>
  </si>
  <si>
    <t>Coordinador de Proyectos</t>
  </si>
  <si>
    <t>Coordinador de Reclamos</t>
  </si>
  <si>
    <t>Coordinador de Reclutamiento</t>
  </si>
  <si>
    <t>Coordinador de Seguridad y Salud Laboral</t>
  </si>
  <si>
    <t>Coordinador de Suscripción</t>
  </si>
  <si>
    <t>Coordinador de Trade Marketing</t>
  </si>
  <si>
    <t>Desarrollador Back End</t>
  </si>
  <si>
    <t>Director / Gerente Actuarial</t>
  </si>
  <si>
    <t>Director / Gerente de Auditoría Interna</t>
  </si>
  <si>
    <t>Director de Customer Experience / Atención al Cliente</t>
  </si>
  <si>
    <t>Director de Datos (CDO)</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</si>
  <si>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</si>
  <si>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</si>
  <si>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</si>
  <si>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</si>
  <si>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</si>
  <si>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</si>
  <si>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</si>
  <si>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Escolta</t>
  </si>
  <si>
    <t>Especialista de Mejora Continua</t>
  </si>
  <si>
    <t>Especialista de Talent Acquisition (Adquisición de Talento)</t>
  </si>
  <si>
    <t>Especialista en Desarrollo</t>
  </si>
  <si>
    <t>Especialista en E-commerce y Ventas Digitales</t>
  </si>
  <si>
    <t>Farmacéutico</t>
  </si>
  <si>
    <t>Gerente / Director de Seguridad Integral</t>
  </si>
  <si>
    <t>Gerente / Encargado de Tienda</t>
  </si>
  <si>
    <t>Gerente de Area de Ventas (Tienda por departamento)</t>
  </si>
  <si>
    <t>Gerente de Area en Entrenamiento</t>
  </si>
  <si>
    <t>Gerente de Atención al Cliente</t>
  </si>
  <si>
    <t>Gerente de Capital Humano</t>
  </si>
  <si>
    <t>Gerente de Costos</t>
  </si>
  <si>
    <t>Gerente de Cumplimiento</t>
  </si>
  <si>
    <t>Gerente de Gobernanza de Datos</t>
  </si>
  <si>
    <t>Gerente de Marketing Digital</t>
  </si>
  <si>
    <t>Gerente de Proyecto</t>
  </si>
  <si>
    <t>Gerente de Proyectos de Ingeniería</t>
  </si>
  <si>
    <t>Gerente de Reclamos</t>
  </si>
  <si>
    <t>Gerente de Sucursal</t>
  </si>
  <si>
    <t>Gerente de Suscripción</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</si>
  <si>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</si>
  <si>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</si>
  <si>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</si>
  <si>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</si>
  <si>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</si>
  <si>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</si>
  <si>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Gerente Regional de Sucursales</t>
  </si>
  <si>
    <t>Growth Data Analyst (Analista de Datos de Crecimiento)</t>
  </si>
  <si>
    <t>Growth Product Manager (Gerente de Producto - Crecimiento)</t>
  </si>
  <si>
    <t>HR Business Partner</t>
  </si>
  <si>
    <t>Ingeniero de Procesos</t>
  </si>
  <si>
    <t>Ingeniero de Proyectos</t>
  </si>
  <si>
    <t>Ingeniero Residente</t>
  </si>
  <si>
    <t>Jardinero</t>
  </si>
  <si>
    <t>Jefe / Coord. de Mantenimiento Industrial</t>
  </si>
  <si>
    <t>Jefe / Coordinador de Costos</t>
  </si>
  <si>
    <t>Jefe / Coordinador de Desarrollo</t>
  </si>
  <si>
    <t>Jefe de Centro de Distribución</t>
  </si>
  <si>
    <t>Jefe de Ciberseguridad</t>
  </si>
  <si>
    <t>Jefe de Reposición</t>
  </si>
  <si>
    <t>Jefe de Seguridad Operativa</t>
  </si>
  <si>
    <t>Líder / Ejecutivo de Cuentas Estratégicas (KAM)</t>
  </si>
  <si>
    <t>Maestro de Obra</t>
  </si>
  <si>
    <t>Médico Ocupacional</t>
  </si>
  <si>
    <t>Mensajero / Motorizado</t>
  </si>
  <si>
    <t>Mercaderista / Impulsador</t>
  </si>
  <si>
    <t>Oficiales de Seguridad / Vigilantes</t>
  </si>
  <si>
    <t>Operadores de Centro de Control</t>
  </si>
  <si>
    <t>Planificador de Proyectos</t>
  </si>
  <si>
    <t>Scrum Master</t>
  </si>
  <si>
    <t>Secretaria Ejecutiva Bilingüe</t>
  </si>
  <si>
    <t>Social Media Manager / Community Manager</t>
  </si>
  <si>
    <t>Sous Chef</t>
  </si>
  <si>
    <t>Supervisor Back up</t>
  </si>
  <si>
    <t>Supervisor de Atención al Cliente</t>
  </si>
  <si>
    <t>Supervisor de Mercaderistas</t>
  </si>
  <si>
    <t>Supervisor de Pisos</t>
  </si>
  <si>
    <t>Supervisor de Seguridad Física y Patrimonial</t>
  </si>
  <si>
    <t>Técnico de Mantenimiento (Electricista, Plomero, Mecánico)</t>
  </si>
  <si>
    <t>Técnico de Mantenimiento de Equipos Industrial</t>
  </si>
  <si>
    <t>Técnicos de Fármacos y Mezclas</t>
  </si>
  <si>
    <t>Técnicos de Mantenimiento de Sistemas de Seguridad</t>
  </si>
  <si>
    <t>Técnicos Radiólogos</t>
  </si>
  <si>
    <t>VP / Director Ramo</t>
  </si>
  <si>
    <t>DISTRIBUCIÓN DE COMPENSACIÓN</t>
  </si>
  <si>
    <t>FRECUENCIA MENSUAL</t>
  </si>
  <si>
    <t>OTRA FRECUENCIA</t>
  </si>
  <si>
    <t>VARIABLE</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</si>
  <si>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</si>
  <si>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</si>
  <si>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</si>
  <si>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</si>
  <si>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Administración y Finanzas</t>
  </si>
  <si>
    <t>Contabilidad y Costos</t>
  </si>
  <si>
    <t>Auditoría</t>
  </si>
  <si>
    <t>Capital Humano</t>
  </si>
  <si>
    <t>Comercial y Ventas</t>
  </si>
  <si>
    <t>Mercadeo y Estrategia de Marca</t>
  </si>
  <si>
    <t>Trade Marketing</t>
  </si>
  <si>
    <t>Marketing Digital &amp; Comunicaciones</t>
  </si>
  <si>
    <t>Growth &amp; E-commerce (Crecimiento Digital)</t>
  </si>
  <si>
    <t>Operaciones y Producción</t>
  </si>
  <si>
    <t>Servicios Generales</t>
  </si>
  <si>
    <t>Tecnología / IT</t>
  </si>
  <si>
    <t>Dirección</t>
  </si>
  <si>
    <t>Legal</t>
  </si>
  <si>
    <t>Compras / Procura</t>
  </si>
  <si>
    <t>Seguridad Integral y SSLA</t>
  </si>
  <si>
    <t>Logística y Distribución</t>
  </si>
  <si>
    <t>Atención al Cliente / Customer Service</t>
  </si>
  <si>
    <t>Cumplimiento / Compliance</t>
  </si>
  <si>
    <t>Oficina de Proyectos</t>
  </si>
  <si>
    <t>SECTOR: Retail / Tiendas Físicas</t>
  </si>
  <si>
    <t>SECTOR: Construcción / IPC</t>
  </si>
  <si>
    <t>SECTOR: Seguros</t>
  </si>
  <si>
    <t>SECTOR: Hotelería / Clubes</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</si>
  <si>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</si>
  <si>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</si>
  <si>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</si>
  <si>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</si>
  <si>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</si>
  <si>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</si>
  <si>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</si>
  <si>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</si>
  <si>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</si>
  <si>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</si>
  <si>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</si>
  <si>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</si>
  <si>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</si>
  <si>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</si>
  <si>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</si>
  <si>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</si>
  <si>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</si>
  <si>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</si>
  <si>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</si>
  <si>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</si>
  <si>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</si>
  <si>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</si>
  <si>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</si>
  <si>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</si>
  <si>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</si>
  <si>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</si>
  <si>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</si>
  <si>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</si>
  <si>
    <t>Empresa</t>
  </si>
  <si>
    <t>Sector</t>
  </si>
  <si>
    <t>Tamaño</t>
  </si>
  <si>
    <t>Empresas</t>
  </si>
  <si>
    <t>Logística / Transporte</t>
  </si>
  <si>
    <t>Grande</t>
  </si>
  <si>
    <t>Comercio / Retail</t>
  </si>
  <si>
    <t>Pequeña</t>
  </si>
  <si>
    <t>Bienes Raíces</t>
  </si>
  <si>
    <t>Mediana</t>
  </si>
  <si>
    <t>Consumo Masivo</t>
  </si>
  <si>
    <t>Agropecuario</t>
  </si>
  <si>
    <t>Industrial / Manufactura</t>
  </si>
  <si>
    <t>Tecnología y Telecomunicaciones (IT &amp; Telecom)</t>
  </si>
  <si>
    <t>Farmacéutico / Salud</t>
  </si>
  <si>
    <t>Publicidad / Medios Digitales</t>
  </si>
  <si>
    <t>Servicios Profesionales</t>
  </si>
  <si>
    <t>Banca / Seguros</t>
  </si>
  <si>
    <t>Hotelería / Turismo / Viajes / Gastronomía</t>
  </si>
  <si>
    <t>Construcción / Ingeniería</t>
  </si>
  <si>
    <t>Fintech (Tecnología Financiera)</t>
  </si>
  <si>
    <t>Medios de Comunicación</t>
  </si>
  <si>
    <t>ONG y Asociaciones</t>
  </si>
  <si>
    <t>Servicios Industriales Especializados</t>
  </si>
  <si>
    <t>Educación</t>
  </si>
  <si>
    <t>Entretenimiento, Recreación y Deportes</t>
  </si>
  <si>
    <t>Servicios</t>
  </si>
  <si>
    <t>MONEDA DE CUENTA Y MONEDA DE PAGO POR ELEMENTO</t>
  </si>
  <si>
    <t>Elemento de pago</t>
  </si>
  <si>
    <t>ND</t>
  </si>
  <si>
    <t>Mon. Cuenta</t>
  </si>
  <si>
    <t>Mon. Pago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</si>
</sst>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5" formatCode="_-[$$-540A]* #,##0.00_ ;_-[$$-540A]* \-#,##0.00\ ;_-[$$-540A]* &quot;-&quot;??_ ;_-@_ "/>
  </numFmts>
  <fonts count="33"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b/>
      <i/>
      <sz val="12"/>
      <color theme="0"/>
      <name val="Calibri"/>
      <family val="2"/>
      <scheme val="minor"/>
    </font>
    <font>
      <sz val="12"/>
      <name val="Calibri"/>
      <family val="2"/>
      <scheme val="minor"/>
    </font>
    <font>
      <sz val="12"/>
      <color theme="1"/>
      <name val="Calibri"/>
      <family val="2"/>
      <scheme val="minor"/>
    </font>
    <font>
      <sz val="12"/>
      <color theme="0"/>
      <name val="Calibri"/>
      <family val="2"/>
      <scheme val="minor"/>
    </font>
    <font>
      <i/>
      <sz val="10"/>
      <name val="Calibri"/>
      <family val="2"/>
      <scheme val="minor"/>
    </font>
    <font>
      <b/>
      <sz val="12"/>
      <name val="Calibri"/>
      <family val="2"/>
      <scheme val="minor"/>
    </font>
    <font>
      <sz val="10"/>
      <color rgb="FF1A1B20"/>
      <name val="Calibri"/>
      <family val="2"/>
      <scheme val="minor"/>
    </font>
    <font>
      <b/>
      <sz val="10"/>
      <color rgb="FF1A1B20"/>
      <name val="Calibri"/>
      <family val="2"/>
      <scheme val="minor"/>
    </font>
    <font>
      <b/>
      <sz val="10"/>
      <color rgb="FFFFFFFF"/>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F9F9FF"/>
        <bgColor rgb="FFF9F9FF"/>
      </patternFill>
    </fill>
    <fill>
      <patternFill patternType="solid">
        <fgColor rgb="FFFFFFFF"/>
        <bgColor rgb="FFFFFFFF"/>
      </patternFill>
    </fill>
    <fill>
      <patternFill patternType="solid">
        <fgColor rgb="FF2C3D50"/>
        <bgColor rgb="FF425D90"/>
      </patternFill>
    </fill>
  </fills>
  <borders count="20">
    <border>
      <left/>
      <right/>
      <top/>
      <bottom/>
      <diagonal/>
    </border>
    <border>
      <left/>
      <right/>
      <top/>
      <bottom style="double">
        <color indexed="64"/>
      </bottom>
      <diagonal/>
    </border>
    <border>
      <left/>
      <right/>
      <top/>
      <bottom style="medium">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
      <left/>
      <right/>
      <top/>
      <bottom style="double">
        <color theme="0"/>
      </bottom>
      <diagonal/>
    </border>
    <border>
      <left style="thin">
        <color theme="0"/>
      </left>
      <right/>
      <top/>
      <bottom style="double">
        <color theme="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double">
        <color theme="0" tint="-0.499984740745262"/>
      </top>
      <bottom style="double">
        <color theme="0" tint="-0.499984740745262"/>
      </bottom>
      <diagonal/>
    </border>
    <border>
      <left style="thin">
        <color theme="0" tint="-0.249977111117893"/>
      </left>
      <right style="thin">
        <color theme="0" tint="-0.249977111117893"/>
      </right>
      <top/>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s>
  <cellStyleXfs count="6">
    <xf numFmtId="0" fontId="0" fillId="0" borderId="0"/>
    <xf numFmtId="0" fontId="7" fillId="0" borderId="0" applyNumberFormat="0" applyFill="0" applyBorder="0" applyAlignment="0" applyProtection="0"/>
    <xf numFmtId="0" fontId="8" fillId="0" borderId="0"/>
    <xf numFmtId="0" fontId="9" fillId="0" borderId="0"/>
    <xf numFmtId="9" fontId="17" fillId="0" borderId="0" applyFont="0" applyFill="0" applyBorder="0" applyAlignment="0" applyProtection="0"/>
    <xf numFmtId="43" fontId="17" fillId="0" borderId="0" applyFont="0" applyFill="0" applyBorder="0" applyAlignment="0" applyProtection="0"/>
  </cellStyleXfs>
  <cellXfs count="123">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6" fillId="0" borderId="0" xfId="0" applyFont="1" applyAlignment="1" applyProtection="1">
      <alignment horizontal="right" vertical="center"/>
      <protection hidden="1"/>
    </xf>
    <xf numFmtId="0" fontId="11" fillId="0" borderId="0" xfId="0" applyFont="1" applyAlignment="1">
      <alignment horizontal="center" vertical="center"/>
    </xf>
    <xf numFmtId="0" fontId="0" fillId="0" borderId="0" xfId="0" applyAlignment="1">
      <alignment vertical="center"/>
    </xf>
    <xf numFmtId="0" fontId="0" fillId="0" borderId="0" xfId="0" applyAlignment="1" applyProtection="1">
      <alignment horizontal="center" vertical="center"/>
      <protection hidden="1"/>
    </xf>
    <xf numFmtId="0" fontId="13" fillId="0" borderId="0" xfId="0" applyFont="1" applyAlignment="1">
      <alignment vertical="center"/>
    </xf>
    <xf numFmtId="0" fontId="8"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4" fillId="0" borderId="0" xfId="0" applyNumberFormat="1" applyFont="1" applyAlignment="1" applyProtection="1">
      <alignment horizontal="left" vertical="center" wrapText="1"/>
      <protection hidden="1"/>
    </xf>
    <xf numFmtId="0" fontId="5"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6" fillId="0" borderId="0" xfId="0" applyFont="1" applyAlignment="1" applyProtection="1">
      <alignment vertical="center"/>
      <protection hidden="1"/>
    </xf>
    <xf numFmtId="0" fontId="6" fillId="0" borderId="0" xfId="0" applyFont="1" applyAlignment="1" applyProtection="1">
      <alignment horizontal="left" vertical="center" wrapText="1"/>
      <protection hidden="1"/>
    </xf>
    <xf numFmtId="0" fontId="16" fillId="0" borderId="0" xfId="0" applyFont="1" applyAlignment="1" applyProtection="1">
      <alignment horizontal="center" vertical="center"/>
      <protection hidden="1"/>
    </xf>
    <xf numFmtId="0" fontId="5" fillId="0" borderId="0" xfId="0" applyFont="1" applyProtection="1">
      <protection hidden="1"/>
    </xf>
    <xf numFmtId="49" fontId="15"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6"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2" fillId="0" borderId="0" xfId="0" applyFont="1" applyAlignment="1" applyProtection="1">
      <alignment horizontal="left"/>
      <protection hidden="1"/>
    </xf>
    <xf numFmtId="0" fontId="18" fillId="0" borderId="0" xfId="0" applyFont="1" applyProtection="1">
      <protection hidden="1"/>
    </xf>
    <xf numFmtId="49" fontId="12" fillId="0" borderId="0" xfId="0" applyNumberFormat="1" applyFont="1" applyProtection="1">
      <protection hidden="1"/>
    </xf>
    <xf numFmtId="9" fontId="21" fillId="2" borderId="3" xfId="4" applyFont="1" applyFill="1" applyBorder="1" applyAlignment="1" applyProtection="1">
      <alignment horizontal="center" vertical="center"/>
      <protection hidden="1"/>
    </xf>
    <xf numFmtId="9" fontId="21" fillId="0" borderId="3" xfId="4" applyFont="1" applyBorder="1" applyAlignment="1" applyProtection="1">
      <alignment horizontal="center" vertical="center"/>
      <protection hidden="1"/>
    </xf>
    <xf numFmtId="9" fontId="21" fillId="2" borderId="4" xfId="4" applyFont="1" applyFill="1" applyBorder="1" applyAlignment="1" applyProtection="1">
      <alignment horizontal="center" vertical="center"/>
      <protection hidden="1"/>
    </xf>
    <xf numFmtId="9" fontId="21" fillId="0" borderId="4" xfId="4" applyFont="1" applyBorder="1" applyAlignment="1" applyProtection="1">
      <alignment horizontal="center" vertical="center"/>
      <protection hidden="1"/>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49" fontId="15" fillId="0" borderId="0" xfId="0" applyNumberFormat="1" applyFont="1" applyAlignment="1" applyProtection="1">
      <alignment horizontal="left" vertical="center" wrapText="1"/>
      <protection hidden="1"/>
    </xf>
    <xf numFmtId="0" fontId="20" fillId="0" borderId="0" xfId="0" applyFont="1" applyAlignment="1" applyProtection="1">
      <alignment vertical="center" wrapText="1"/>
      <protection hidden="1"/>
    </xf>
    <xf numFmtId="0" fontId="0" fillId="0" borderId="0" xfId="0" applyAlignment="1" applyProtection="1">
      <alignment horizontal="left" vertical="center"/>
      <protection hidden="1"/>
    </xf>
    <xf numFmtId="0" fontId="1" fillId="0" borderId="7" xfId="0" applyFont="1" applyBorder="1" applyAlignment="1" applyProtection="1">
      <alignment horizontal="center" vertical="center"/>
      <protection hidden="1"/>
    </xf>
    <xf numFmtId="0" fontId="23" fillId="0" borderId="7" xfId="0" applyFont="1" applyBorder="1" applyAlignment="1">
      <alignment horizontal="center" vertical="center"/>
    </xf>
    <xf numFmtId="0" fontId="1" fillId="4" borderId="9" xfId="0" applyFont="1" applyFill="1" applyBorder="1" applyAlignment="1" applyProtection="1">
      <alignment horizontal="center" vertical="center"/>
      <protection hidden="1"/>
    </xf>
    <xf numFmtId="0" fontId="23" fillId="4" borderId="9" xfId="0" applyFont="1" applyFill="1" applyBorder="1" applyAlignment="1">
      <alignment horizontal="center" vertical="center"/>
    </xf>
    <xf numFmtId="0" fontId="1" fillId="4" borderId="7" xfId="0" applyFont="1" applyFill="1" applyBorder="1" applyAlignment="1" applyProtection="1">
      <alignment horizontal="center" vertical="center"/>
      <protection hidden="1"/>
    </xf>
    <xf numFmtId="0" fontId="23" fillId="4" borderId="7"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7" xfId="0" applyFont="1" applyBorder="1" applyAlignment="1">
      <alignment horizontal="center" vertical="center"/>
    </xf>
    <xf numFmtId="0" fontId="1" fillId="4" borderId="7" xfId="0" applyFont="1" applyFill="1" applyBorder="1" applyAlignment="1">
      <alignment horizontal="center" vertical="center"/>
    </xf>
    <xf numFmtId="49" fontId="2" fillId="0" borderId="0" xfId="0" applyNumberFormat="1" applyFont="1" applyAlignment="1" applyProtection="1">
      <alignment vertical="center"/>
      <protection hidden="1"/>
    </xf>
    <xf numFmtId="0" fontId="24" fillId="5" borderId="8" xfId="0" applyFont="1" applyFill="1" applyBorder="1" applyAlignment="1">
      <alignment horizontal="center" vertical="center"/>
    </xf>
    <xf numFmtId="0" fontId="25" fillId="0" borderId="0" xfId="0" applyFont="1"/>
    <xf numFmtId="0" fontId="12" fillId="0" borderId="0" xfId="0" applyFont="1" applyAlignment="1" applyProtection="1">
      <alignment horizontal="left"/>
      <protection hidden="1"/>
    </xf>
    <xf numFmtId="49" fontId="15"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0" fillId="0" borderId="0" xfId="0" applyNumberFormat="1" applyAlignment="1" applyProtection="1">
      <alignment horizontal="left" vertical="center"/>
      <protection hidden="1"/>
    </xf>
    <xf numFmtId="49" fontId="7" fillId="0" borderId="0" xfId="1" applyNumberFormat="1" applyAlignment="1" applyProtection="1">
      <alignment horizontal="left" vertical="center"/>
      <protection hidden="1"/>
    </xf>
    <xf numFmtId="0" fontId="0" fillId="0" borderId="0" xfId="0" applyAlignment="1">
      <alignment vertical="center"/>
    </xf>
    <xf numFmtId="0" fontId="5" fillId="0" borderId="0" xfId="0" applyFont="1" applyAlignment="1" applyProtection="1">
      <alignment horizontal="right"/>
      <protection hidden="1"/>
    </xf>
    <xf numFmtId="0" fontId="1" fillId="0" borderId="0" xfId="0" applyFont="1" applyAlignment="1" applyProtection="1">
      <alignment horizontal="center" vertical="center" wrapText="1"/>
      <protection hidden="1"/>
    </xf>
    <xf numFmtId="0" fontId="20" fillId="5" borderId="1" xfId="0" applyFont="1" applyFill="1" applyBorder="1" applyAlignment="1" applyProtection="1">
      <alignment horizontal="center" vertical="center" wrapText="1"/>
      <protection hidden="1"/>
    </xf>
    <xf numFmtId="0" fontId="20" fillId="5" borderId="5" xfId="0" applyFont="1" applyFill="1" applyBorder="1" applyAlignment="1" applyProtection="1">
      <alignment horizontal="center" vertical="center" wrapText="1"/>
      <protection hidden="1"/>
    </xf>
    <xf numFmtId="0" fontId="20" fillId="5" borderId="6" xfId="0" applyFont="1" applyFill="1" applyBorder="1" applyAlignment="1" applyProtection="1">
      <alignment horizontal="center" vertical="center" wrapText="1"/>
      <protection hidden="1"/>
    </xf>
    <xf numFmtId="0" fontId="19" fillId="5" borderId="0" xfId="0" applyFont="1" applyFill="1" applyAlignment="1">
      <alignment horizontal="center"/>
    </xf>
    <xf numFmtId="0" fontId="22" fillId="0" borderId="0" xfId="0" applyFont="1" applyAlignment="1">
      <alignment horizontal="left" vertical="center" wrapText="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6" fillId="0" borderId="0" xfId="0" applyFont="1" applyAlignment="1" applyProtection="1">
      <alignment horizontal="left" vertical="center" wrapText="1"/>
      <protection hidden="1"/>
    </xf>
    <xf numFmtId="0" fontId="10" fillId="0" borderId="0" xfId="0" applyFont="1" applyAlignment="1" applyProtection="1">
      <alignment horizontal="left" vertical="center" wrapText="1"/>
      <protection hidden="1"/>
    </xf>
    <xf numFmtId="49" fontId="14" fillId="0" borderId="0" xfId="0" applyNumberFormat="1" applyFont="1" applyAlignment="1" applyProtection="1">
      <alignment horizontal="left" vertical="center" wrapText="1"/>
      <protection hidden="1"/>
    </xf>
    <xf numFmtId="0" fontId="6" fillId="0" borderId="0" xfId="0" applyFont="1" applyAlignment="1" applyProtection="1">
      <alignment horizontal="right" vertical="center"/>
      <protection hidden="1"/>
    </xf>
    <xf numFmtId="0" fontId="27" fillId="5" borderId="11" xfId="0" applyFont="1" applyFill="1" applyBorder="1"/>
    <xf numFmtId="0" fontId="27" fillId="5" borderId="12" xfId="0" applyFont="1" applyFill="1" applyBorder="1"/>
    <xf numFmtId="0" fontId="5" fillId="0" borderId="0" xfId="0" applyFont="1" applyAlignment="1" applyProtection="1">
      <protection hidden="1"/>
    </xf>
    <xf numFmtId="0" fontId="27" fillId="0" borderId="0" xfId="0" applyFont="1"/>
    <xf numFmtId="0" fontId="27" fillId="0" borderId="0" xfId="0" applyFont="1" applyProtection="1">
      <protection hidden="1"/>
    </xf>
    <xf numFmtId="9" fontId="27" fillId="0" borderId="0" xfId="4" applyFont="1"/>
    <xf numFmtId="9" fontId="27" fillId="0" borderId="0" xfId="4" applyFont="1" applyProtection="1">
      <protection hidden="1"/>
    </xf>
    <xf numFmtId="0" fontId="21" fillId="0" borderId="3" xfId="0" applyFont="1" applyBorder="1" applyAlignment="1" applyProtection="1">
      <alignment horizontal="center" vertical="center"/>
      <protection hidden="1"/>
    </xf>
    <xf numFmtId="0" fontId="21" fillId="0" borderId="13" xfId="0" applyFont="1" applyBorder="1" applyAlignment="1" applyProtection="1">
      <alignment horizontal="center" vertical="center"/>
      <protection hidden="1"/>
    </xf>
    <xf numFmtId="0" fontId="21" fillId="0" borderId="14" xfId="0" applyFont="1" applyBorder="1" applyAlignment="1" applyProtection="1">
      <alignment horizontal="center" vertical="center"/>
      <protection hidden="1"/>
    </xf>
    <xf numFmtId="0" fontId="21" fillId="3" borderId="8" xfId="0" applyFont="1" applyFill="1" applyBorder="1" applyAlignment="1" applyProtection="1">
      <alignment horizontal="left" vertical="center" wrapText="1"/>
      <protection hidden="1"/>
    </xf>
    <xf numFmtId="0" fontId="21" fillId="3" borderId="8" xfId="0" applyFont="1" applyFill="1" applyBorder="1" applyAlignment="1" applyProtection="1">
      <alignment horizontal="center" vertical="center" wrapText="1"/>
      <protection hidden="1"/>
    </xf>
    <xf numFmtId="0" fontId="21" fillId="0" borderId="15" xfId="0" applyFont="1" applyBorder="1" applyAlignment="1" applyProtection="1">
      <alignment horizontal="center" vertical="center"/>
      <protection hidden="1"/>
    </xf>
    <xf numFmtId="0" fontId="21" fillId="0" borderId="17" xfId="0" applyFont="1" applyBorder="1" applyAlignment="1" applyProtection="1">
      <alignment horizontal="center" vertical="center"/>
      <protection hidden="1"/>
    </xf>
    <xf numFmtId="0" fontId="21" fillId="3" borderId="16" xfId="0" applyFont="1" applyFill="1" applyBorder="1" applyAlignment="1" applyProtection="1">
      <alignment vertical="center" wrapText="1"/>
      <protection hidden="1"/>
    </xf>
    <xf numFmtId="9" fontId="21" fillId="0" borderId="3" xfId="4" applyFont="1" applyFill="1" applyBorder="1" applyAlignment="1" applyProtection="1">
      <alignment horizontal="right" vertical="center"/>
      <protection hidden="1"/>
    </xf>
    <xf numFmtId="0" fontId="21" fillId="3" borderId="8" xfId="0" applyFont="1" applyFill="1" applyBorder="1" applyAlignment="1" applyProtection="1">
      <alignment horizontal="center" vertical="center" wrapText="1"/>
      <protection hidden="1"/>
    </xf>
    <xf numFmtId="0" fontId="21" fillId="0" borderId="18" xfId="0" applyFont="1" applyBorder="1" applyAlignment="1" applyProtection="1">
      <alignment horizontal="center" vertical="center"/>
      <protection hidden="1"/>
    </xf>
    <xf numFmtId="0" fontId="21" fillId="0" borderId="19" xfId="0" applyFont="1" applyBorder="1" applyAlignment="1" applyProtection="1">
      <alignment horizontal="center" vertical="center"/>
      <protection hidden="1"/>
    </xf>
    <xf numFmtId="0" fontId="0" fillId="0" borderId="8" xfId="0" applyBorder="1" applyAlignment="1" applyProtection="1">
      <alignment horizontal="center" vertical="center"/>
      <protection hidden="1"/>
    </xf>
    <xf numFmtId="164" fontId="26" fillId="4" borderId="9" xfId="0" applyNumberFormat="1" applyFont="1" applyFill="1" applyBorder="1" applyAlignment="1">
      <alignment horizontal="center" vertical="center"/>
    </xf>
    <xf numFmtId="164" fontId="26" fillId="0" borderId="7" xfId="0" applyNumberFormat="1" applyFont="1" applyBorder="1" applyAlignment="1">
      <alignment horizontal="center" vertical="center"/>
    </xf>
    <xf numFmtId="164" fontId="26" fillId="4" borderId="7" xfId="0" applyNumberFormat="1" applyFont="1" applyFill="1" applyBorder="1" applyAlignment="1">
      <alignment horizontal="center" vertical="center"/>
    </xf>
    <xf numFmtId="0" fontId="0" fillId="0" borderId="0" xfId="0" applyFont="1" applyProtection="1">
      <protection hidden="1"/>
    </xf>
    <xf numFmtId="49" fontId="28" fillId="0" borderId="0" xfId="0" applyNumberFormat="1" applyFont="1" applyAlignment="1" applyProtection="1">
      <alignment vertical="center" wrapText="1"/>
      <protection hidden="1"/>
    </xf>
    <xf numFmtId="0" fontId="29" fillId="0" borderId="0" xfId="0" applyFont="1" applyAlignment="1">
      <alignment vertical="center"/>
    </xf>
    <xf numFmtId="0" fontId="0" fillId="0" borderId="0" xfId="0" applyFont="1"/>
    <xf numFmtId="0" fontId="30" fillId="7" borderId="0" xfId="0" applyFont="1" applyFill="1" applyAlignment="1">
      <alignment vertical="top"/>
    </xf>
    <xf numFmtId="0" fontId="31" fillId="7" borderId="0" xfId="0" applyFont="1" applyFill="1" applyAlignment="1">
      <alignment vertical="top" wrapText="1"/>
    </xf>
    <xf numFmtId="0" fontId="31" fillId="7" borderId="0" xfId="0" applyFont="1" applyFill="1" applyAlignment="1">
      <alignment vertical="top"/>
    </xf>
    <xf numFmtId="0" fontId="32" fillId="8" borderId="10" xfId="0" applyFont="1" applyFill="1" applyBorder="1" applyAlignment="1">
      <alignment horizontal="center" vertical="center"/>
    </xf>
    <xf numFmtId="0" fontId="32" fillId="8" borderId="10" xfId="0" applyFont="1" applyFill="1" applyBorder="1" applyAlignment="1">
      <alignment horizontal="center" vertical="center" wrapText="1"/>
    </xf>
    <xf numFmtId="0" fontId="30" fillId="6" borderId="10" xfId="0" applyFont="1" applyFill="1" applyBorder="1" applyAlignment="1">
      <alignment horizontal="center" vertical="center"/>
    </xf>
    <xf numFmtId="44" fontId="30" fillId="6" borderId="10" xfId="0" applyNumberFormat="1" applyFont="1" applyFill="1" applyBorder="1" applyAlignment="1">
      <alignment horizontal="center" vertical="center"/>
    </xf>
    <xf numFmtId="165" fontId="30" fillId="6" borderId="10" xfId="0" applyNumberFormat="1" applyFont="1" applyFill="1" applyBorder="1" applyAlignment="1">
      <alignment horizontal="center" vertical="center"/>
    </xf>
    <xf numFmtId="0" fontId="30" fillId="7" borderId="10" xfId="0" applyFont="1" applyFill="1" applyBorder="1" applyAlignment="1">
      <alignment horizontal="center" vertical="center"/>
    </xf>
    <xf numFmtId="164" fontId="30" fillId="7" borderId="10" xfId="0" applyNumberFormat="1" applyFont="1" applyFill="1" applyBorder="1" applyAlignment="1">
      <alignment horizontal="center" vertical="center"/>
    </xf>
    <xf numFmtId="165" fontId="30" fillId="7" borderId="10" xfId="0" applyNumberFormat="1" applyFont="1" applyFill="1" applyBorder="1" applyAlignment="1">
      <alignment horizontal="center" vertical="center"/>
    </xf>
    <xf numFmtId="164" fontId="30" fillId="6" borderId="10" xfId="0" applyNumberFormat="1" applyFont="1" applyFill="1" applyBorder="1" applyAlignment="1">
      <alignment horizontal="center" vertical="center"/>
    </xf>
    <xf numFmtId="0" fontId="31" fillId="7" borderId="10" xfId="0" applyFont="1" applyFill="1" applyBorder="1" applyAlignment="1">
      <alignment horizontal="center" vertical="center"/>
    </xf>
    <xf numFmtId="165" fontId="31" fillId="7" borderId="10" xfId="0" applyNumberFormat="1" applyFont="1" applyFill="1" applyBorder="1" applyAlignment="1">
      <alignment horizontal="center" vertical="center"/>
    </xf>
    <xf numFmtId="0" fontId="0" fillId="0" borderId="0" xfId="0" applyFont="1" applyAlignment="1" applyProtection="1">
      <alignment horizontal="center"/>
      <protection hidden="1"/>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treemap" uniqueId="{00000000-F381-044D-A64F-A32E0C8DD32B}">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7" Type="http://schemas.microsoft.com/office/2014/relationships/chartEx" Target="../charts/chartEx2.xml"/><Relationship Id="rId2" Type="http://schemas.openxmlformats.org/officeDocument/2006/relationships/image" Target="../media/image6.png"/><Relationship Id="rId1" Type="http://schemas.openxmlformats.org/officeDocument/2006/relationships/hyperlink" Target="https://www.instagram.com/ac_consulting/" TargetMode="External"/><Relationship Id="rId6" Type="http://schemas.microsoft.com/office/2014/relationships/chartEx" Target="../charts/chartEx1.xml"/><Relationship Id="rId5" Type="http://schemas.openxmlformats.org/officeDocument/2006/relationships/image" Target="../media/image3.png"/><Relationship Id="rId4" Type="http://schemas.openxmlformats.org/officeDocument/2006/relationships/image" Target="../media/image5.jpe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6.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10.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1.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2</xdr:col>
      <xdr:colOff>179917</xdr:colOff>
      <xdr:row>19</xdr:row>
      <xdr:rowOff>52918</xdr:rowOff>
    </xdr:from>
    <xdr:to>
      <xdr:col>5</xdr:col>
      <xdr:colOff>762000</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582334" y="3778251"/>
          <a:ext cx="3058583"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12" name="Picture 5">
          <a:hlinkClick xmlns:r="http://schemas.openxmlformats.org/officeDocument/2006/relationships" r:id="rId1"/>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13" name="Picture 5">
          <a:hlinkClick xmlns:r="http://schemas.openxmlformats.org/officeDocument/2006/relationships" r:id="rId3"/>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2247195</xdr:colOff>
      <xdr:row>0</xdr:row>
      <xdr:rowOff>571500</xdr:rowOff>
    </xdr:to>
    <xdr:grpSp>
      <xdr:nvGrpSpPr>
        <xdr:cNvPr id="4" name="Grupo 3">
          <a:extLst>
            <a:ext uri="{FF2B5EF4-FFF2-40B4-BE49-F238E27FC236}">
              <a16:creationId xmlns:a16="http://schemas.microsoft.com/office/drawing/2014/main" id="{83BA5D65-F207-4649-B4E7-BA485DCF703D}"/>
            </a:ext>
          </a:extLst>
        </xdr:cNvPr>
        <xdr:cNvGrpSpPr/>
      </xdr:nvGrpSpPr>
      <xdr:grpSpPr>
        <a:xfrm>
          <a:off x="0" y="0"/>
          <a:ext cx="2247195"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107A6095-98AF-140D-B900-9213301BFB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E6C6FA02-22A8-9423-C2F2-00F6C3457065}"/>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2194278</xdr:colOff>
      <xdr:row>2</xdr:row>
      <xdr:rowOff>0</xdr:rowOff>
    </xdr:to>
    <xdr:sp macro="" textlink="">
      <xdr:nvSpPr>
        <xdr:cNvPr id="7" name="Recortar rectángulo de esquina del mismo lado 6">
          <a:extLst>
            <a:ext uri="{FF2B5EF4-FFF2-40B4-BE49-F238E27FC236}">
              <a16:creationId xmlns:a16="http://schemas.microsoft.com/office/drawing/2014/main" id="{8D6ED6DD-1F45-7A41-8F87-9D568E5E9A3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4</xdr:col>
      <xdr:colOff>0</xdr:colOff>
      <xdr:row>3</xdr:row>
      <xdr:rowOff>0</xdr:rowOff>
    </xdr:from>
    <xdr:to>
      <xdr:col>9</xdr:col>
      <xdr:colOff>409221</xdr:colOff>
      <xdr:row>28</xdr:row>
      <xdr:rowOff>55316</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4666DB6E-FFA4-0A4D-A25D-12A55027B3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18222" y="1622778"/>
              <a:ext cx="4571999"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3</xdr:row>
      <xdr:rowOff>0</xdr:rowOff>
    </xdr:from>
    <xdr:to>
      <xdr:col>2</xdr:col>
      <xdr:colOff>1128888</xdr:colOff>
      <xdr:row>28</xdr:row>
      <xdr:rowOff>55316</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B0880D8D-A7A2-E743-A4AE-2E9DC28416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0" y="1622778"/>
              <a:ext cx="8593666"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203200</xdr:colOff>
      <xdr:row>0</xdr:row>
      <xdr:rowOff>0</xdr:rowOff>
    </xdr:from>
    <xdr:to>
      <xdr:col>8</xdr:col>
      <xdr:colOff>495300</xdr:colOff>
      <xdr:row>0</xdr:row>
      <xdr:rowOff>304800</xdr:rowOff>
    </xdr:to>
    <xdr:pic>
      <xdr:nvPicPr>
        <xdr:cNvPr id="20" name="Picture 5">
          <a:hlinkClick xmlns:r="http://schemas.openxmlformats.org/officeDocument/2006/relationships" r:id="rId1"/>
          <a:extLst>
            <a:ext uri="{FF2B5EF4-FFF2-40B4-BE49-F238E27FC236}">
              <a16:creationId xmlns:a16="http://schemas.microsoft.com/office/drawing/2014/main" id="{6073F189-B1D5-5740-AD1D-9A400BE90E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21" name="Picture 5">
          <a:hlinkClick xmlns:r="http://schemas.openxmlformats.org/officeDocument/2006/relationships" r:id="rId3"/>
          <a:extLst>
            <a:ext uri="{FF2B5EF4-FFF2-40B4-BE49-F238E27FC236}">
              <a16:creationId xmlns:a16="http://schemas.microsoft.com/office/drawing/2014/main" id="{71716E2A-5B12-424E-8C5E-DFE83E3C40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450272</xdr:colOff>
      <xdr:row>0</xdr:row>
      <xdr:rowOff>11546</xdr:rowOff>
    </xdr:from>
    <xdr:to>
      <xdr:col>9</xdr:col>
      <xdr:colOff>804390</xdr:colOff>
      <xdr:row>0</xdr:row>
      <xdr:rowOff>727363</xdr:rowOff>
    </xdr:to>
    <xdr:sp macro="" textlink="">
      <xdr:nvSpPr>
        <xdr:cNvPr id="22" name="5 CuadroTexto">
          <a:extLst>
            <a:ext uri="{FF2B5EF4-FFF2-40B4-BE49-F238E27FC236}">
              <a16:creationId xmlns:a16="http://schemas.microsoft.com/office/drawing/2014/main" id="{17C2C077-19DF-B748-87AB-03A16469BA62}"/>
            </a:ext>
          </a:extLst>
        </xdr:cNvPr>
        <xdr:cNvSpPr txBox="1"/>
      </xdr:nvSpPr>
      <xdr:spPr>
        <a:xfrm>
          <a:off x="16028939" y="11546"/>
          <a:ext cx="1186673"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203200</xdr:colOff>
      <xdr:row>0</xdr:row>
      <xdr:rowOff>0</xdr:rowOff>
    </xdr:from>
    <xdr:to>
      <xdr:col>9</xdr:col>
      <xdr:colOff>495300</xdr:colOff>
      <xdr:row>0</xdr:row>
      <xdr:rowOff>304800</xdr:rowOff>
    </xdr:to>
    <xdr:pic>
      <xdr:nvPicPr>
        <xdr:cNvPr id="2" name="Picture 5">
          <a:hlinkClick xmlns:r="http://schemas.openxmlformats.org/officeDocument/2006/relationships" r:id="rId1"/>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203200</xdr:colOff>
      <xdr:row>0</xdr:row>
      <xdr:rowOff>342900</xdr:rowOff>
    </xdr:from>
    <xdr:to>
      <xdr:col>9</xdr:col>
      <xdr:colOff>495300</xdr:colOff>
      <xdr:row>0</xdr:row>
      <xdr:rowOff>647700</xdr:rowOff>
    </xdr:to>
    <xdr:pic>
      <xdr:nvPicPr>
        <xdr:cNvPr id="3" name="Picture 5">
          <a:hlinkClick xmlns:r="http://schemas.openxmlformats.org/officeDocument/2006/relationships" r:id="rId3"/>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450271</xdr:colOff>
      <xdr:row>0</xdr:row>
      <xdr:rowOff>11546</xdr:rowOff>
    </xdr:from>
    <xdr:to>
      <xdr:col>10</xdr:col>
      <xdr:colOff>522110</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0751382" y="11546"/>
          <a:ext cx="128539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525639</xdr:colOff>
      <xdr:row>0</xdr:row>
      <xdr:rowOff>571500</xdr:rowOff>
    </xdr:to>
    <xdr:grpSp>
      <xdr:nvGrpSpPr>
        <xdr:cNvPr id="8" name="Grupo 7">
          <a:extLst>
            <a:ext uri="{FF2B5EF4-FFF2-40B4-BE49-F238E27FC236}">
              <a16:creationId xmlns:a16="http://schemas.microsoft.com/office/drawing/2014/main" id="{A919A378-6D67-D84B-BC52-BF261ADB9686}"/>
            </a:ext>
          </a:extLst>
        </xdr:cNvPr>
        <xdr:cNvGrpSpPr/>
      </xdr:nvGrpSpPr>
      <xdr:grpSpPr>
        <a:xfrm>
          <a:off x="0" y="0"/>
          <a:ext cx="2247195"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A8497CAC-D6E8-B975-FC0A-17D5D17E12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725B8835-8259-3492-0673-6128965CBBE7}"/>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3"/>
  <sheetViews>
    <sheetView showGridLines="0" tabSelected="1" zoomScale="120" zoomScaleNormal="120" workbookViewId="0">
      <selection activeCell="G16" sqref="G16"/>
    </sheetView>
  </sheetViews>
  <sheetFormatPr baseColWidth="10" defaultColWidth="10.83203125" defaultRowHeight="16" x14ac:dyDescent="0.2"/>
  <cols>
    <col min="1" max="1" width="20.6640625" style="1" customWidth="1"/>
    <col min="2" max="16384" width="10.83203125" style="1"/>
  </cols>
  <sheetData>
    <row r="12" spans="1:6" ht="21" x14ac:dyDescent="0.25">
      <c r="A12" s="60"/>
      <c r="B12" s="60"/>
      <c r="C12" s="60"/>
      <c r="D12" s="60"/>
      <c r="E12" s="60"/>
      <c r="F12" s="60"/>
    </row>
    <row r="13" spans="1:6" ht="5" customHeight="1" x14ac:dyDescent="0.25">
      <c r="A13" s="36"/>
      <c r="B13" s="38"/>
      <c r="C13" s="36"/>
      <c r="D13" s="36"/>
      <c r="E13" s="36"/>
      <c r="F13" s="37"/>
    </row>
    <row r="14" spans="1:6" ht="21" x14ac:dyDescent="0.25">
      <c r="A14" s="36" t="s">
        <v>0</v>
      </c>
      <c r="B14" s="38"/>
      <c r="C14" s="38"/>
      <c r="D14" s="38"/>
      <c r="E14" s="38"/>
      <c r="F14" s="37"/>
    </row>
    <row r="15" spans="1:6" ht="5" customHeight="1" x14ac:dyDescent="0.25">
      <c r="A15" s="36"/>
      <c r="B15" s="38"/>
      <c r="C15" s="36"/>
      <c r="D15" s="36"/>
      <c r="E15" s="36"/>
      <c r="F15" s="37"/>
    </row>
    <row r="16" spans="1:6" ht="21" x14ac:dyDescent="0.25">
      <c r="A16" s="36" t="s">
        <v>91</v>
      </c>
      <c r="B16" s="38"/>
      <c r="C16" s="38"/>
      <c r="D16" s="38"/>
      <c r="E16" s="38"/>
      <c r="F16" s="37"/>
    </row>
    <row r="17" spans="1:6" ht="5" customHeight="1" x14ac:dyDescent="0.2"/>
    <row r="18" spans="1:6" ht="21" x14ac:dyDescent="0.25">
      <c r="A18" s="36"/>
      <c r="B18" s="38"/>
    </row>
    <row r="19" spans="1:6" ht="21" x14ac:dyDescent="0.25">
      <c r="A19" s="36"/>
      <c r="B19" s="38"/>
    </row>
    <row r="20" spans="1:6" ht="21" x14ac:dyDescent="0.25">
      <c r="A20" s="36"/>
      <c r="B20" s="38"/>
    </row>
    <row r="23" spans="1:6" ht="17" thickBot="1" x14ac:dyDescent="0.25">
      <c r="A23" s="26"/>
      <c r="B23" s="26"/>
      <c r="C23" s="26"/>
      <c r="D23" s="26"/>
      <c r="E23" s="26"/>
      <c r="F23" s="26"/>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election activeCell="R32" sqref="R32"/>
    </sheetView>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62" t="s">
        <v>134</v>
      </c>
      <c r="K1" s="63"/>
      <c r="L1" s="61"/>
      <c r="M1" s="61"/>
    </row>
    <row r="2" spans="3:13" ht="40" customHeight="1" x14ac:dyDescent="0.2">
      <c r="C2" s="57"/>
      <c r="D2" s="57"/>
      <c r="E2" s="57"/>
      <c r="F2" s="57"/>
      <c r="G2" s="57"/>
      <c r="H2" s="57"/>
      <c r="I2" s="57"/>
      <c r="J2" s="57"/>
      <c r="K2" s="57"/>
      <c r="L2" s="57"/>
      <c r="M2" s="57"/>
    </row>
    <row r="3" spans="3:13" ht="15.75" customHeight="1" x14ac:dyDescent="0.2">
      <c r="C3" s="25"/>
      <c r="D3" s="25"/>
      <c r="E3" s="25"/>
      <c r="F3" s="25"/>
      <c r="G3" s="25"/>
      <c r="H3" s="25"/>
      <c r="I3" s="25"/>
      <c r="J3" s="25"/>
      <c r="K3" s="25"/>
      <c r="L3" s="25"/>
      <c r="M3" s="25"/>
    </row>
    <row r="4" spans="3:13" ht="15.75" customHeight="1" x14ac:dyDescent="0.2">
      <c r="C4" s="25"/>
      <c r="D4" s="25"/>
      <c r="E4" s="25"/>
      <c r="F4" s="25"/>
      <c r="G4" s="25"/>
      <c r="H4" s="25"/>
      <c r="I4" s="25"/>
      <c r="J4" s="25"/>
      <c r="K4" s="25"/>
      <c r="L4" s="25"/>
      <c r="M4" s="25"/>
    </row>
    <row r="5" spans="3:13" ht="15.75" customHeight="1" x14ac:dyDescent="0.2">
      <c r="C5" s="25"/>
      <c r="D5" s="25"/>
      <c r="E5" s="25"/>
      <c r="F5" s="25"/>
      <c r="G5" s="25"/>
      <c r="H5" s="25"/>
      <c r="I5" s="25"/>
      <c r="J5" s="25"/>
      <c r="K5" s="25"/>
      <c r="L5" s="25"/>
      <c r="M5" s="25"/>
    </row>
    <row r="6" spans="3:13" ht="15.75" customHeight="1" x14ac:dyDescent="0.2">
      <c r="C6" s="25"/>
      <c r="D6" s="25"/>
      <c r="E6" s="25"/>
      <c r="F6" s="25"/>
      <c r="G6" s="25"/>
      <c r="H6" s="25"/>
      <c r="I6" s="25"/>
      <c r="J6" s="25"/>
      <c r="K6" s="25"/>
      <c r="L6" s="25"/>
      <c r="M6" s="25"/>
    </row>
    <row r="7" spans="3:13" ht="15.75" customHeight="1" x14ac:dyDescent="0.2">
      <c r="C7" s="25"/>
      <c r="D7" s="25"/>
      <c r="E7" s="25"/>
      <c r="F7" s="25"/>
      <c r="G7" s="25"/>
      <c r="H7" s="25"/>
      <c r="I7" s="25"/>
      <c r="J7" s="25"/>
      <c r="K7" s="25"/>
      <c r="L7" s="25"/>
      <c r="M7" s="25"/>
    </row>
    <row r="8" spans="3:13" ht="15.75" customHeight="1" x14ac:dyDescent="0.2">
      <c r="C8" s="25"/>
      <c r="D8" s="25"/>
      <c r="E8" s="25"/>
      <c r="F8" s="25"/>
      <c r="G8" s="25"/>
      <c r="H8" s="25"/>
      <c r="I8" s="25"/>
      <c r="J8" s="25"/>
      <c r="K8" s="25"/>
      <c r="L8" s="25"/>
      <c r="M8" s="25"/>
    </row>
    <row r="9" spans="3:13" ht="15.75" customHeight="1" x14ac:dyDescent="0.2">
      <c r="C9" s="25"/>
      <c r="D9" s="25"/>
      <c r="E9" s="25"/>
      <c r="F9" s="25"/>
      <c r="G9" s="25"/>
      <c r="H9" s="25"/>
      <c r="I9" s="25"/>
      <c r="J9" s="25"/>
      <c r="K9" s="25"/>
      <c r="L9" s="25"/>
      <c r="M9" s="25"/>
    </row>
    <row r="10" spans="3:13" ht="15.75" customHeight="1" x14ac:dyDescent="0.2">
      <c r="C10" s="25"/>
      <c r="D10" s="25"/>
      <c r="E10" s="25"/>
      <c r="F10" s="25"/>
      <c r="G10" s="25"/>
      <c r="H10" s="25"/>
      <c r="I10" s="25"/>
      <c r="J10" s="25"/>
      <c r="K10" s="25"/>
      <c r="L10" s="25"/>
      <c r="M10" s="25"/>
    </row>
    <row r="11" spans="3:13" ht="15.75" customHeight="1" x14ac:dyDescent="0.2">
      <c r="C11" s="25"/>
      <c r="D11" s="25"/>
      <c r="E11" s="25"/>
      <c r="F11" s="25"/>
      <c r="G11" s="25"/>
      <c r="H11" s="25"/>
      <c r="I11" s="25"/>
      <c r="J11" s="25"/>
      <c r="K11" s="25"/>
      <c r="L11" s="25"/>
      <c r="M11" s="25"/>
    </row>
    <row r="12" spans="3:13" ht="15.75" customHeight="1" x14ac:dyDescent="0.2">
      <c r="C12" s="25"/>
      <c r="D12" s="25"/>
      <c r="E12" s="25"/>
      <c r="F12" s="25"/>
      <c r="G12" s="25"/>
      <c r="H12" s="25"/>
      <c r="I12" s="25"/>
      <c r="J12" s="25"/>
      <c r="K12" s="25"/>
      <c r="L12" s="25"/>
      <c r="M12" s="25"/>
    </row>
    <row r="13" spans="3:13" ht="15.75" customHeight="1" x14ac:dyDescent="0.2">
      <c r="C13" s="25"/>
      <c r="D13" s="25"/>
      <c r="E13" s="25"/>
      <c r="F13" s="25"/>
      <c r="G13" s="25"/>
      <c r="H13" s="25"/>
      <c r="I13" s="25"/>
      <c r="J13" s="25"/>
      <c r="K13" s="25"/>
      <c r="L13" s="25"/>
      <c r="M13" s="25"/>
    </row>
    <row r="14" spans="3:13" ht="15.75" customHeight="1" x14ac:dyDescent="0.2">
      <c r="C14" s="25"/>
      <c r="D14" s="25"/>
      <c r="E14" s="25"/>
      <c r="F14" s="25"/>
      <c r="G14" s="25"/>
      <c r="H14" s="25"/>
      <c r="I14" s="25"/>
      <c r="J14" s="25"/>
      <c r="K14" s="25"/>
      <c r="L14" s="25"/>
      <c r="M14" s="25"/>
    </row>
    <row r="15" spans="3:13" ht="15.75" customHeight="1" x14ac:dyDescent="0.2">
      <c r="C15" s="25"/>
      <c r="D15" s="25"/>
      <c r="E15" s="25"/>
      <c r="F15" s="25"/>
      <c r="G15" s="25"/>
      <c r="H15" s="25"/>
      <c r="I15" s="25"/>
      <c r="J15" s="25"/>
      <c r="K15" s="25"/>
      <c r="L15" s="25"/>
      <c r="M15" s="25"/>
    </row>
    <row r="16" spans="3:13" ht="15.75" customHeight="1" x14ac:dyDescent="0.2">
      <c r="C16" s="25"/>
      <c r="D16" s="25"/>
      <c r="E16" s="25"/>
      <c r="F16" s="25"/>
      <c r="G16" s="25"/>
      <c r="H16" s="25"/>
      <c r="I16" s="25"/>
      <c r="J16" s="25"/>
      <c r="K16" s="25"/>
      <c r="L16" s="25"/>
      <c r="M16" s="25"/>
    </row>
    <row r="17" spans="3:13" ht="15.75" customHeight="1" x14ac:dyDescent="0.2">
      <c r="C17" s="25"/>
      <c r="D17" s="25"/>
      <c r="E17" s="25"/>
      <c r="F17" s="25"/>
      <c r="G17" s="25"/>
      <c r="H17" s="25"/>
      <c r="I17" s="25"/>
      <c r="J17" s="25"/>
      <c r="K17" s="25"/>
      <c r="L17" s="25"/>
      <c r="M17" s="25"/>
    </row>
    <row r="18" spans="3:13" ht="15.75" customHeight="1" x14ac:dyDescent="0.2">
      <c r="C18" s="25"/>
      <c r="D18" s="25"/>
      <c r="E18" s="25"/>
      <c r="F18" s="25"/>
      <c r="G18" s="25"/>
      <c r="H18" s="25"/>
      <c r="I18" s="25"/>
      <c r="J18" s="25"/>
      <c r="K18" s="25"/>
      <c r="L18" s="25"/>
      <c r="M18" s="25"/>
    </row>
    <row r="19" spans="3:13" ht="15.75" customHeight="1" x14ac:dyDescent="0.2">
      <c r="C19" s="25"/>
      <c r="D19" s="25"/>
      <c r="E19" s="25"/>
      <c r="F19" s="25"/>
      <c r="G19" s="25"/>
      <c r="H19" s="25"/>
      <c r="I19" s="25"/>
      <c r="J19" s="25"/>
      <c r="K19" s="25"/>
      <c r="L19" s="25"/>
      <c r="M19" s="25"/>
    </row>
    <row r="20" spans="3:13" ht="15.75" customHeight="1" x14ac:dyDescent="0.2">
      <c r="C20" s="25"/>
      <c r="D20" s="25"/>
      <c r="E20" s="25"/>
      <c r="F20" s="25"/>
      <c r="G20" s="25"/>
      <c r="H20" s="25"/>
      <c r="I20" s="25"/>
      <c r="J20" s="25"/>
      <c r="K20" s="25"/>
      <c r="L20" s="25"/>
      <c r="M20" s="25"/>
    </row>
    <row r="21" spans="3:13" ht="15.75" customHeight="1" x14ac:dyDescent="0.2">
      <c r="C21" s="25"/>
      <c r="D21" s="25"/>
      <c r="E21" s="25"/>
      <c r="F21" s="25"/>
      <c r="G21" s="25"/>
      <c r="H21" s="25"/>
      <c r="I21" s="25"/>
      <c r="J21" s="25"/>
      <c r="K21" s="25"/>
      <c r="L21" s="25"/>
      <c r="M21" s="25"/>
    </row>
    <row r="22" spans="3:13" ht="15.75" customHeight="1" x14ac:dyDescent="0.2">
      <c r="C22" s="25"/>
      <c r="D22" s="25"/>
      <c r="E22" s="25"/>
      <c r="F22" s="25"/>
      <c r="G22" s="25"/>
      <c r="H22" s="25"/>
      <c r="I22" s="25"/>
      <c r="J22" s="25"/>
      <c r="K22" s="25"/>
      <c r="L22" s="25"/>
      <c r="M22" s="25"/>
    </row>
    <row r="23" spans="3:13" ht="15.75" customHeight="1" x14ac:dyDescent="0.2">
      <c r="C23" s="25"/>
      <c r="D23" s="25"/>
      <c r="E23" s="25"/>
      <c r="F23" s="25"/>
      <c r="G23" s="25"/>
      <c r="H23" s="25"/>
      <c r="I23" s="25"/>
      <c r="J23" s="25"/>
      <c r="K23" s="25"/>
      <c r="L23" s="25"/>
      <c r="M23" s="25"/>
    </row>
    <row r="24" spans="3:13" ht="15.75" customHeight="1" x14ac:dyDescent="0.2">
      <c r="C24" s="25"/>
      <c r="D24" s="25"/>
      <c r="E24" s="25"/>
      <c r="F24" s="25"/>
      <c r="G24" s="25"/>
      <c r="H24" s="25"/>
      <c r="I24" s="25"/>
      <c r="J24" s="25"/>
      <c r="K24" s="25"/>
      <c r="L24" s="25"/>
      <c r="M24" s="25"/>
    </row>
    <row r="25" spans="3:13" ht="15.75" customHeight="1" x14ac:dyDescent="0.2">
      <c r="C25" s="25"/>
      <c r="D25" s="25"/>
      <c r="E25" s="25"/>
      <c r="F25" s="25"/>
      <c r="G25" s="25"/>
      <c r="H25" s="25"/>
      <c r="I25" s="25"/>
      <c r="J25" s="25"/>
      <c r="K25" s="25"/>
      <c r="L25" s="25"/>
      <c r="M25" s="25"/>
    </row>
    <row r="26" spans="3:13" ht="15.75" customHeight="1" x14ac:dyDescent="0.2">
      <c r="C26" s="25"/>
      <c r="D26" s="25"/>
      <c r="E26" s="25"/>
      <c r="F26" s="25"/>
      <c r="G26" s="25"/>
      <c r="H26" s="25"/>
      <c r="I26" s="25"/>
      <c r="J26" s="25"/>
      <c r="K26" s="25"/>
      <c r="L26" s="25"/>
      <c r="M26" s="25"/>
    </row>
    <row r="27" spans="3:13" ht="15.75" customHeight="1" x14ac:dyDescent="0.2">
      <c r="C27" s="25"/>
      <c r="D27" s="25"/>
      <c r="E27" s="25"/>
      <c r="F27" s="25"/>
      <c r="G27" s="25"/>
      <c r="H27" s="25"/>
      <c r="I27" s="25"/>
      <c r="J27" s="25"/>
      <c r="K27" s="25"/>
      <c r="L27" s="25"/>
      <c r="M27" s="25"/>
    </row>
    <row r="28" spans="3:13" ht="15.75" customHeight="1" x14ac:dyDescent="0.2">
      <c r="C28" s="25"/>
      <c r="D28" s="25"/>
      <c r="E28" s="25"/>
      <c r="F28" s="25"/>
      <c r="G28" s="25"/>
      <c r="H28" s="25"/>
      <c r="I28" s="25"/>
      <c r="J28" s="25"/>
      <c r="K28" s="25"/>
      <c r="L28" s="25"/>
      <c r="M28" s="25"/>
    </row>
    <row r="29" spans="3:13" ht="15.75" customHeight="1" x14ac:dyDescent="0.2">
      <c r="C29" s="25"/>
      <c r="D29" s="25"/>
      <c r="E29" s="25"/>
      <c r="F29" s="25"/>
      <c r="G29" s="25"/>
      <c r="H29" s="25"/>
      <c r="I29" s="25"/>
      <c r="J29" s="25"/>
      <c r="K29" s="25"/>
      <c r="L29" s="25"/>
      <c r="M29" s="25"/>
    </row>
    <row r="30" spans="3:13" ht="15.75" customHeight="1" x14ac:dyDescent="0.2">
      <c r="C30" s="25"/>
      <c r="D30" s="25"/>
      <c r="E30" s="25"/>
      <c r="F30" s="25"/>
      <c r="G30" s="25"/>
      <c r="H30" s="25"/>
      <c r="I30" s="25"/>
      <c r="J30" s="25"/>
      <c r="K30" s="25"/>
      <c r="L30" s="25"/>
      <c r="M30" s="25"/>
    </row>
    <row r="31" spans="3:13" ht="15.75" customHeight="1" x14ac:dyDescent="0.2">
      <c r="C31" s="25"/>
      <c r="D31" s="25"/>
      <c r="E31" s="25"/>
      <c r="F31" s="25"/>
      <c r="G31" s="25"/>
      <c r="H31" s="25"/>
      <c r="I31" s="25"/>
      <c r="J31" s="25"/>
      <c r="K31" s="25"/>
      <c r="L31" s="25"/>
      <c r="M31" s="25"/>
    </row>
    <row r="32" spans="3:13" ht="15.75" customHeight="1" x14ac:dyDescent="0.2">
      <c r="C32" s="25"/>
      <c r="D32" s="25"/>
      <c r="E32" s="25"/>
      <c r="F32" s="25"/>
      <c r="G32" s="25"/>
      <c r="H32" s="25"/>
      <c r="I32" s="25"/>
      <c r="J32" s="25"/>
      <c r="K32" s="25"/>
      <c r="L32" s="25"/>
      <c r="M32" s="25"/>
    </row>
    <row r="33" spans="3:13" ht="15.75" customHeight="1" x14ac:dyDescent="0.2">
      <c r="C33" s="25"/>
      <c r="D33" s="25"/>
      <c r="E33" s="25"/>
      <c r="F33" s="25"/>
      <c r="G33" s="25"/>
      <c r="H33" s="25"/>
      <c r="I33" s="25"/>
      <c r="J33" s="25"/>
      <c r="K33" s="25"/>
      <c r="L33" s="25"/>
      <c r="M33" s="25"/>
    </row>
    <row r="34" spans="3:13" ht="15.75" customHeight="1" x14ac:dyDescent="0.2">
      <c r="C34" s="25"/>
      <c r="D34" s="25"/>
      <c r="E34" s="25"/>
      <c r="F34" s="25"/>
      <c r="G34" s="25"/>
      <c r="H34" s="25"/>
      <c r="I34" s="25"/>
      <c r="J34" s="25"/>
      <c r="K34" s="25"/>
      <c r="L34" s="25"/>
      <c r="M34" s="25"/>
    </row>
    <row r="35" spans="3:13" ht="15.75" customHeight="1" x14ac:dyDescent="0.2">
      <c r="C35" s="25"/>
      <c r="D35" s="25"/>
      <c r="E35" s="25"/>
      <c r="F35" s="25"/>
      <c r="G35" s="25"/>
      <c r="H35" s="25"/>
      <c r="I35" s="25"/>
      <c r="J35" s="25"/>
      <c r="K35" s="25"/>
      <c r="L35" s="25"/>
      <c r="M35" s="25"/>
    </row>
    <row r="36" spans="3:13" ht="15.75" customHeight="1" x14ac:dyDescent="0.2">
      <c r="C36" s="25"/>
      <c r="D36" s="25"/>
      <c r="E36" s="25"/>
      <c r="F36" s="25"/>
      <c r="G36" s="25"/>
      <c r="H36" s="25"/>
      <c r="I36" s="25"/>
      <c r="J36" s="25"/>
      <c r="K36" s="25"/>
      <c r="L36" s="25"/>
      <c r="M36" s="25"/>
    </row>
    <row r="37" spans="3:13" ht="15.75" customHeight="1" x14ac:dyDescent="0.2">
      <c r="C37" s="25"/>
      <c r="D37" s="25"/>
      <c r="E37" s="25"/>
      <c r="F37" s="25"/>
      <c r="G37" s="25"/>
      <c r="H37" s="25"/>
      <c r="I37" s="25"/>
      <c r="J37" s="25"/>
      <c r="K37" s="25"/>
      <c r="L37" s="25"/>
      <c r="M37" s="25"/>
    </row>
    <row r="38" spans="3:13" ht="15.75" customHeight="1" x14ac:dyDescent="0.2">
      <c r="C38" s="25"/>
      <c r="D38" s="25"/>
      <c r="E38" s="25"/>
      <c r="F38" s="25"/>
      <c r="G38" s="25"/>
      <c r="H38" s="25"/>
      <c r="I38" s="25"/>
      <c r="J38" s="25"/>
      <c r="K38" s="25"/>
      <c r="L38" s="25"/>
      <c r="M38" s="25"/>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2"/>
  <sheetViews>
    <sheetView showGridLines="0" zoomScale="90" zoomScaleNormal="90" workbookViewId="0">
      <selection activeCell="B5" sqref="B5:J5"/>
    </sheetView>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62" t="s">
        <v>134</v>
      </c>
      <c r="K1" s="63"/>
      <c r="L1" s="61"/>
      <c r="M1" s="61"/>
    </row>
    <row r="2" spans="1:13" ht="40" customHeight="1" x14ac:dyDescent="0.2">
      <c r="B2" s="57"/>
      <c r="C2" s="57"/>
      <c r="D2" s="57"/>
      <c r="E2" s="57"/>
      <c r="F2" s="57"/>
      <c r="G2" s="57"/>
      <c r="H2" s="57"/>
      <c r="I2" s="57"/>
      <c r="J2" s="57"/>
      <c r="K2" s="57"/>
      <c r="L2" s="57"/>
      <c r="M2" s="57"/>
    </row>
    <row r="3" spans="1:13" ht="20" customHeight="1" x14ac:dyDescent="0.2">
      <c r="B3" s="57"/>
      <c r="C3" s="57"/>
      <c r="D3" s="57"/>
      <c r="E3" s="57"/>
      <c r="F3" s="57"/>
      <c r="G3" s="57"/>
      <c r="H3" s="57"/>
      <c r="I3" s="57"/>
      <c r="J3" s="57"/>
      <c r="K3" s="57"/>
      <c r="L3" s="57"/>
      <c r="M3" s="57"/>
    </row>
    <row r="4" spans="1:13" ht="20" customHeight="1" x14ac:dyDescent="0.2">
      <c r="A4" s="6" t="s">
        <v>2</v>
      </c>
      <c r="B4" s="64" t="s">
        <v>1</v>
      </c>
      <c r="C4" s="64"/>
      <c r="D4" s="64"/>
      <c r="E4" s="64"/>
      <c r="F4" s="64"/>
      <c r="G4" s="64"/>
      <c r="H4" s="64"/>
      <c r="I4" s="64"/>
      <c r="J4" s="64"/>
    </row>
    <row r="5" spans="1:13" s="7" customFormat="1" ht="20" customHeight="1" x14ac:dyDescent="0.2">
      <c r="A5" s="6" t="s">
        <v>2</v>
      </c>
      <c r="B5" s="65" t="s">
        <v>415</v>
      </c>
      <c r="C5" s="65"/>
      <c r="D5" s="65"/>
      <c r="E5" s="65"/>
      <c r="F5" s="65"/>
      <c r="G5" s="65"/>
      <c r="H5" s="65"/>
      <c r="I5" s="65"/>
      <c r="J5" s="65"/>
    </row>
    <row r="6" spans="1:13" s="7" customFormat="1" ht="20" customHeight="1" x14ac:dyDescent="0.2">
      <c r="A6" s="6" t="s">
        <v>2</v>
      </c>
      <c r="B6" s="65" t="s">
        <v>90</v>
      </c>
      <c r="C6" s="65"/>
      <c r="D6" s="65"/>
      <c r="E6" s="65"/>
      <c r="F6" s="65"/>
      <c r="G6" s="65"/>
      <c r="H6" s="65"/>
      <c r="I6" s="65"/>
      <c r="J6" s="65"/>
    </row>
    <row r="7" spans="1:13" s="7" customFormat="1" ht="20" customHeight="1" x14ac:dyDescent="0.2">
      <c r="A7" s="6" t="s">
        <v>2</v>
      </c>
      <c r="B7" s="65" t="s">
        <v>474</v>
      </c>
      <c r="C7" s="65"/>
      <c r="D7" s="65"/>
      <c r="E7" s="65"/>
      <c r="F7" s="65"/>
      <c r="G7" s="65"/>
      <c r="H7" s="65"/>
      <c r="I7" s="65"/>
      <c r="J7" s="65"/>
    </row>
    <row r="8" spans="1:13" s="7" customFormat="1" ht="20" customHeight="1" x14ac:dyDescent="0.2">
      <c r="A8" s="6"/>
      <c r="B8" s="6"/>
      <c r="C8" s="6" t="s">
        <v>2</v>
      </c>
      <c r="D8" s="66" t="s">
        <v>4</v>
      </c>
      <c r="E8" s="66"/>
      <c r="F8" s="66"/>
      <c r="G8" s="66"/>
      <c r="H8" s="66"/>
    </row>
    <row r="9" spans="1:13" s="7" customFormat="1" ht="20" customHeight="1" x14ac:dyDescent="0.2">
      <c r="A9" s="6"/>
      <c r="B9" s="6"/>
      <c r="C9" s="6"/>
      <c r="D9" s="9" t="s">
        <v>2</v>
      </c>
      <c r="E9" s="65" t="s">
        <v>4</v>
      </c>
      <c r="F9" s="65"/>
      <c r="G9" s="65"/>
      <c r="H9" s="65"/>
    </row>
    <row r="10" spans="1:13" s="7" customFormat="1" ht="20" customHeight="1" x14ac:dyDescent="0.2">
      <c r="A10" s="6"/>
      <c r="B10" s="6"/>
      <c r="C10" s="6"/>
      <c r="D10" s="9" t="s">
        <v>2</v>
      </c>
      <c r="E10" s="65" t="s">
        <v>5</v>
      </c>
      <c r="F10" s="65"/>
      <c r="G10" s="65"/>
      <c r="H10" s="65"/>
    </row>
    <row r="11" spans="1:13" s="7" customFormat="1" ht="20" customHeight="1" x14ac:dyDescent="0.2">
      <c r="A11" s="6"/>
      <c r="B11" s="6"/>
      <c r="C11" s="6"/>
      <c r="D11" s="9" t="s">
        <v>2</v>
      </c>
      <c r="E11" s="65" t="s">
        <v>6</v>
      </c>
      <c r="F11" s="65"/>
      <c r="G11" s="65"/>
      <c r="H11" s="65"/>
    </row>
    <row r="12" spans="1:13" ht="24" x14ac:dyDescent="0.2">
      <c r="J12" s="25"/>
      <c r="K12" s="25"/>
      <c r="L12" s="25"/>
      <c r="M12" s="25"/>
    </row>
  </sheetData>
  <mergeCells count="10">
    <mergeCell ref="L1:M1"/>
    <mergeCell ref="E11:H11"/>
    <mergeCell ref="D8:H8"/>
    <mergeCell ref="E9:H9"/>
    <mergeCell ref="E10:H10"/>
    <mergeCell ref="B4:J4"/>
    <mergeCell ref="B5:J5"/>
    <mergeCell ref="B6:J6"/>
    <mergeCell ref="B7:J7"/>
    <mergeCell ref="J1:K1"/>
  </mergeCells>
  <hyperlinks>
    <hyperlink ref="B5:H5" location="'Distribución de Compensación'!A1" display="DISTRIBUCIÓN DE COMPENSACIÓN" xr:uid="{00000000-0004-0000-0200-000000000000}"/>
    <hyperlink ref="B6:H6" location="'Market Analyzer'!A1" display="MARKET ANALYZER" xr:uid="{00000000-0004-0000-0200-000001000000}"/>
    <hyperlink ref="E9:H9" location="'Acerca de AC Consulting '!A1" display="ACERCA DE AC CONSULTING" xr:uid="{00000000-0004-0000-0200-000004000000}"/>
    <hyperlink ref="E10:H10" location="'Portafolio de Productos'!A1" display="PORTAFOLIO DE PRODUCTOS" xr:uid="{00000000-0004-0000-0200-000005000000}"/>
    <hyperlink ref="E11:H11" location="Contacto!A1" display="CONTACTO" xr:uid="{00000000-0004-0000-0200-000007000000}"/>
    <hyperlink ref="B5:J5" location="'Distribución de Compensación'!A1" display="DISTRIBUCIÓN DE COMPENSACIÓN" xr:uid="{5AE1570A-E8F1-5D49-9268-9920C4EAD2A5}"/>
    <hyperlink ref="B6:J6" location="'Market Analyzer'!A1" display="MARKET ANALYZER" xr:uid="{006AA325-AAF2-BA41-B017-209D4AB29BB6}"/>
    <hyperlink ref="B7:J7" location="'Explicación TCR'!A1" display="EXPLICACIÓN TCR" xr:uid="{F5808B29-BAA8-9345-94DE-89D53A645CCC}"/>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Z249"/>
  <sheetViews>
    <sheetView showGridLines="0" zoomScale="90" zoomScaleNormal="90" workbookViewId="0"/>
  </sheetViews>
  <sheetFormatPr baseColWidth="10" defaultRowHeight="16" x14ac:dyDescent="0.2"/>
  <cols>
    <col min="1" max="1" width="50.33203125" style="1" customWidth="1"/>
    <col min="2" max="2" width="47.6640625" style="3" customWidth="1"/>
    <col min="3" max="3" width="15.1640625" style="1" customWidth="1"/>
    <col min="4" max="4" width="3.83203125" style="1" customWidth="1"/>
    <col min="5" max="19" width="10.83203125" style="1"/>
    <col min="20" max="26" width="10.83203125" style="85"/>
    <col min="27" max="16384" width="10.83203125" style="1"/>
  </cols>
  <sheetData>
    <row r="1" spans="1:26" ht="72" customHeight="1" x14ac:dyDescent="0.2">
      <c r="E1" s="45"/>
      <c r="F1" s="23"/>
      <c r="H1" s="44" t="s">
        <v>134</v>
      </c>
      <c r="I1" s="61"/>
      <c r="J1" s="61"/>
      <c r="K1" s="32"/>
      <c r="L1" s="44" t="s">
        <v>134</v>
      </c>
      <c r="M1" s="61"/>
      <c r="N1" s="61"/>
      <c r="P1"/>
      <c r="Q1"/>
      <c r="R1"/>
      <c r="T1" s="84" t="s">
        <v>476</v>
      </c>
      <c r="U1" s="84" t="s">
        <v>478</v>
      </c>
      <c r="V1" s="84"/>
      <c r="X1" s="84" t="s">
        <v>477</v>
      </c>
      <c r="Y1" s="84" t="s">
        <v>478</v>
      </c>
    </row>
    <row r="2" spans="1:26" ht="40" customHeight="1" x14ac:dyDescent="0.2">
      <c r="A2" s="14"/>
      <c r="B2" s="14"/>
      <c r="C2" s="14"/>
      <c r="D2" s="14"/>
      <c r="E2" s="14"/>
      <c r="F2" s="14"/>
      <c r="G2" s="14"/>
      <c r="H2" s="14"/>
      <c r="I2" s="14"/>
      <c r="J2" s="14"/>
      <c r="K2" s="14"/>
      <c r="L2" s="14"/>
      <c r="M2" s="14"/>
      <c r="P2"/>
      <c r="Q2"/>
      <c r="R2"/>
      <c r="T2" s="84" t="s">
        <v>481</v>
      </c>
      <c r="U2" s="84">
        <f>COUNTIF($B$33:$B$232,$T2)</f>
        <v>24</v>
      </c>
      <c r="V2" s="86">
        <f>$U2/(200-COUNTBLANK($B$33:$B$232))</f>
        <v>0.18604651162790697</v>
      </c>
      <c r="X2" s="84" t="s">
        <v>482</v>
      </c>
      <c r="Y2" s="84">
        <f>COUNTIF($C$33:$C$232,$X2)</f>
        <v>58</v>
      </c>
      <c r="Z2" s="87">
        <f>$Y2/(200-COUNTBLANK($B$33:$B$232))</f>
        <v>0.44961240310077522</v>
      </c>
    </row>
    <row r="3" spans="1:26" ht="15.75" customHeight="1" x14ac:dyDescent="0.2">
      <c r="A3" s="29"/>
      <c r="B3" s="29"/>
      <c r="C3" s="29"/>
      <c r="D3" s="29"/>
      <c r="E3" s="29"/>
      <c r="F3" s="14"/>
      <c r="G3" s="14"/>
      <c r="H3" s="14"/>
      <c r="P3"/>
      <c r="Q3"/>
      <c r="R3"/>
      <c r="T3" s="84" t="s">
        <v>485</v>
      </c>
      <c r="U3" s="84">
        <f>COUNTIF($B$33:$B$232,$T3)</f>
        <v>17</v>
      </c>
      <c r="V3" s="86">
        <f>$U3/(200-COUNTBLANK($B$33:$B$232))</f>
        <v>0.13178294573643412</v>
      </c>
      <c r="X3" s="84" t="s">
        <v>484</v>
      </c>
      <c r="Y3" s="84">
        <f>COUNTIF($C$33:$C$232,$X3)</f>
        <v>36</v>
      </c>
      <c r="Z3" s="87">
        <f>$Y3/(200-COUNTBLANK($B$33:$B$232))</f>
        <v>0.27906976744186046</v>
      </c>
    </row>
    <row r="4" spans="1:26" ht="15.75" customHeight="1" x14ac:dyDescent="0.2">
      <c r="A4" s="29"/>
      <c r="B4" s="29"/>
      <c r="C4" s="29"/>
      <c r="D4" s="29"/>
      <c r="E4" s="29"/>
      <c r="F4" s="14"/>
      <c r="G4" s="14"/>
      <c r="H4" s="14"/>
      <c r="P4"/>
      <c r="Q4"/>
      <c r="R4"/>
      <c r="T4" s="84" t="s">
        <v>487</v>
      </c>
      <c r="U4" s="84">
        <f>COUNTIF($B$33:$B$232,$T4)</f>
        <v>10</v>
      </c>
      <c r="V4" s="86">
        <f>$U4/(200-COUNTBLANK($B$33:$B$232))</f>
        <v>7.7519379844961239E-2</v>
      </c>
      <c r="X4" s="84" t="s">
        <v>480</v>
      </c>
      <c r="Y4" s="84">
        <f>COUNTIF($C$33:$C$232,$X4)</f>
        <v>35</v>
      </c>
      <c r="Z4" s="87">
        <f>$Y4/(200-COUNTBLANK($B$33:$B$232))</f>
        <v>0.27131782945736432</v>
      </c>
    </row>
    <row r="5" spans="1:26" ht="15.75" customHeight="1" x14ac:dyDescent="0.2">
      <c r="A5" s="29"/>
      <c r="B5" s="29"/>
      <c r="C5" s="29"/>
      <c r="D5" s="29"/>
      <c r="E5" s="29"/>
      <c r="F5" s="14"/>
      <c r="G5" s="14"/>
      <c r="H5" s="14"/>
      <c r="P5"/>
      <c r="Q5"/>
      <c r="R5"/>
      <c r="T5" s="84" t="s">
        <v>488</v>
      </c>
      <c r="U5" s="84">
        <f>COUNTIF($B$33:$B$232,$T5)</f>
        <v>10</v>
      </c>
      <c r="V5" s="86">
        <f>$U5/(200-COUNTBLANK($B$33:$B$232))</f>
        <v>7.7519379844961239E-2</v>
      </c>
    </row>
    <row r="6" spans="1:26" ht="15.75" customHeight="1" x14ac:dyDescent="0.2">
      <c r="A6" s="29"/>
      <c r="B6" s="29"/>
      <c r="C6" s="29"/>
      <c r="D6" s="29"/>
      <c r="E6" s="29"/>
      <c r="F6" s="14"/>
      <c r="G6" s="14"/>
      <c r="H6" s="14"/>
      <c r="P6"/>
      <c r="Q6"/>
      <c r="R6"/>
      <c r="T6" s="84" t="s">
        <v>489</v>
      </c>
      <c r="U6" s="84">
        <f>COUNTIF($B$33:$B$232,$T6)</f>
        <v>9</v>
      </c>
      <c r="V6" s="86">
        <f>$U6/(200-COUNTBLANK($B$33:$B$232))</f>
        <v>6.9767441860465115E-2</v>
      </c>
    </row>
    <row r="7" spans="1:26" ht="15.75" customHeight="1" x14ac:dyDescent="0.2">
      <c r="A7" s="29"/>
      <c r="B7" s="29"/>
      <c r="C7" s="29"/>
      <c r="D7" s="29"/>
      <c r="E7" s="29"/>
      <c r="F7" s="14"/>
      <c r="G7" s="14"/>
      <c r="H7" s="14"/>
      <c r="P7"/>
      <c r="Q7"/>
      <c r="R7"/>
      <c r="T7" s="84" t="s">
        <v>491</v>
      </c>
      <c r="U7" s="84">
        <f>COUNTIF($B$33:$B$232,$T7)</f>
        <v>9</v>
      </c>
      <c r="V7" s="86">
        <f>$U7/(200-COUNTBLANK($B$33:$B$232))</f>
        <v>6.9767441860465115E-2</v>
      </c>
    </row>
    <row r="8" spans="1:26" ht="15.75" customHeight="1" x14ac:dyDescent="0.2">
      <c r="A8" s="29"/>
      <c r="B8" s="29"/>
      <c r="C8" s="29"/>
      <c r="D8" s="29"/>
      <c r="E8" s="29"/>
      <c r="F8" s="14"/>
      <c r="G8" s="14"/>
      <c r="H8" s="14"/>
      <c r="P8"/>
      <c r="Q8"/>
      <c r="R8"/>
      <c r="T8" s="84" t="s">
        <v>492</v>
      </c>
      <c r="U8" s="84">
        <f>COUNTIF($B$33:$B$232,$T8)</f>
        <v>8</v>
      </c>
      <c r="V8" s="86">
        <f>$U8/(200-COUNTBLANK($B$33:$B$232))</f>
        <v>6.2015503875968991E-2</v>
      </c>
    </row>
    <row r="9" spans="1:26" ht="15.75" customHeight="1" x14ac:dyDescent="0.2">
      <c r="A9" s="29"/>
      <c r="B9" s="29"/>
      <c r="C9" s="29"/>
      <c r="D9" s="29"/>
      <c r="E9" s="29"/>
      <c r="F9" s="14"/>
      <c r="G9" s="14"/>
      <c r="H9" s="14"/>
      <c r="P9"/>
      <c r="Q9"/>
      <c r="R9"/>
      <c r="T9" s="84" t="s">
        <v>479</v>
      </c>
      <c r="U9" s="84">
        <f>COUNTIF($B$33:$B$232,$T9)</f>
        <v>8</v>
      </c>
      <c r="V9" s="86">
        <f>$U9/(200-COUNTBLANK($B$33:$B$232))</f>
        <v>6.2015503875968991E-2</v>
      </c>
    </row>
    <row r="10" spans="1:26" ht="15.75" customHeight="1" x14ac:dyDescent="0.2">
      <c r="A10" s="29"/>
      <c r="B10" s="29"/>
      <c r="C10" s="29"/>
      <c r="D10" s="29"/>
      <c r="E10" s="29"/>
      <c r="F10" s="14"/>
      <c r="G10" s="14"/>
      <c r="H10" s="14"/>
      <c r="P10"/>
      <c r="Q10"/>
      <c r="R10"/>
      <c r="T10" s="84" t="s">
        <v>486</v>
      </c>
      <c r="U10" s="84">
        <f>COUNTIF($B$33:$B$232,$T10)</f>
        <v>5</v>
      </c>
      <c r="V10" s="86">
        <f>$U10/(200-COUNTBLANK($B$33:$B$232))</f>
        <v>3.875968992248062E-2</v>
      </c>
    </row>
    <row r="11" spans="1:26" ht="15.75" customHeight="1" x14ac:dyDescent="0.2">
      <c r="A11" s="29"/>
      <c r="B11" s="29"/>
      <c r="C11" s="29"/>
      <c r="D11" s="29"/>
      <c r="E11" s="29"/>
      <c r="F11" s="14"/>
      <c r="G11" s="14"/>
      <c r="H11" s="14"/>
      <c r="P11"/>
      <c r="Q11"/>
      <c r="R11"/>
      <c r="T11" s="84" t="s">
        <v>493</v>
      </c>
      <c r="U11" s="84">
        <f>COUNTIF($B$33:$B$232,$T11)</f>
        <v>5</v>
      </c>
      <c r="V11" s="86">
        <f>$U11/(200-COUNTBLANK($B$33:$B$232))</f>
        <v>3.875968992248062E-2</v>
      </c>
    </row>
    <row r="12" spans="1:26" ht="15.75" customHeight="1" x14ac:dyDescent="0.2">
      <c r="A12" s="29"/>
      <c r="B12" s="29"/>
      <c r="C12" s="29"/>
      <c r="D12" s="29"/>
      <c r="E12" s="29"/>
      <c r="F12" s="14"/>
      <c r="G12" s="14"/>
      <c r="H12" s="14"/>
      <c r="P12"/>
      <c r="Q12"/>
      <c r="R12"/>
      <c r="T12" s="84" t="s">
        <v>494</v>
      </c>
      <c r="U12" s="84">
        <f>COUNTIF($B$33:$B$232,$T12)</f>
        <v>4</v>
      </c>
      <c r="V12" s="86">
        <f>$U12/(200-COUNTBLANK($B$33:$B$232))</f>
        <v>3.1007751937984496E-2</v>
      </c>
    </row>
    <row r="13" spans="1:26" ht="15.75" customHeight="1" x14ac:dyDescent="0.2">
      <c r="A13" s="29"/>
      <c r="B13" s="29"/>
      <c r="C13" s="29"/>
      <c r="D13" s="29"/>
      <c r="E13" s="29"/>
      <c r="F13" s="14"/>
      <c r="G13" s="14"/>
      <c r="H13" s="14"/>
      <c r="P13"/>
      <c r="Q13"/>
      <c r="R13"/>
      <c r="T13" s="84" t="s">
        <v>495</v>
      </c>
      <c r="U13" s="84">
        <f>COUNTIF($B$33:$B$232,$T13)</f>
        <v>4</v>
      </c>
      <c r="V13" s="86">
        <f>$U13/(200-COUNTBLANK($B$33:$B$232))</f>
        <v>3.1007751937984496E-2</v>
      </c>
    </row>
    <row r="14" spans="1:26" ht="15.75" customHeight="1" x14ac:dyDescent="0.2">
      <c r="A14" s="29"/>
      <c r="B14" s="29"/>
      <c r="C14" s="29"/>
      <c r="D14" s="29"/>
      <c r="E14" s="29"/>
      <c r="F14" s="14"/>
      <c r="G14" s="14"/>
      <c r="H14" s="14"/>
      <c r="P14"/>
      <c r="Q14"/>
      <c r="R14"/>
      <c r="T14" s="84" t="s">
        <v>496</v>
      </c>
      <c r="U14" s="84">
        <f>COUNTIF($B$33:$B$232,$T14)</f>
        <v>4</v>
      </c>
      <c r="V14" s="86">
        <f>$U14/(200-COUNTBLANK($B$33:$B$232))</f>
        <v>3.1007751937984496E-2</v>
      </c>
    </row>
    <row r="15" spans="1:26" ht="15.75" customHeight="1" x14ac:dyDescent="0.2">
      <c r="A15" s="29"/>
      <c r="B15" s="29"/>
      <c r="C15" s="29"/>
      <c r="D15" s="29"/>
      <c r="E15" s="29"/>
      <c r="F15" s="14"/>
      <c r="G15" s="14"/>
      <c r="H15" s="14"/>
      <c r="P15"/>
      <c r="Q15"/>
      <c r="R15"/>
      <c r="T15" s="84" t="s">
        <v>498</v>
      </c>
      <c r="U15" s="84">
        <f>COUNTIF($B$33:$B$232,$T15)</f>
        <v>4</v>
      </c>
      <c r="V15" s="86">
        <f>$U15/(200-COUNTBLANK($B$33:$B$232))</f>
        <v>3.1007751937984496E-2</v>
      </c>
    </row>
    <row r="16" spans="1:26" ht="15.75" customHeight="1" x14ac:dyDescent="0.2">
      <c r="A16" s="29"/>
      <c r="B16" s="29"/>
      <c r="C16" s="29"/>
      <c r="D16" s="29"/>
      <c r="E16" s="29"/>
      <c r="F16" s="14"/>
      <c r="G16" s="14"/>
      <c r="H16" s="14"/>
      <c r="P16"/>
      <c r="Q16"/>
      <c r="R16"/>
      <c r="T16" s="84" t="s">
        <v>499</v>
      </c>
      <c r="U16" s="84">
        <f>COUNTIF($B$33:$B$232,$T16)</f>
        <v>2</v>
      </c>
      <c r="V16" s="86">
        <f>$U16/(200-COUNTBLANK($B$33:$B$232))</f>
        <v>1.5503875968992248E-2</v>
      </c>
    </row>
    <row r="17" spans="1:22" ht="15.75" customHeight="1" x14ac:dyDescent="0.2">
      <c r="A17" s="29"/>
      <c r="B17" s="29"/>
      <c r="C17" s="29"/>
      <c r="D17" s="29"/>
      <c r="E17" s="29"/>
      <c r="F17" s="14"/>
      <c r="G17" s="14"/>
      <c r="H17" s="14"/>
      <c r="P17"/>
      <c r="Q17"/>
      <c r="R17"/>
      <c r="T17" s="84" t="s">
        <v>490</v>
      </c>
      <c r="U17" s="84">
        <f>COUNTIF($B$33:$B$232,$T17)</f>
        <v>2</v>
      </c>
      <c r="V17" s="86">
        <f>$U17/(200-COUNTBLANK($B$33:$B$232))</f>
        <v>1.5503875968992248E-2</v>
      </c>
    </row>
    <row r="18" spans="1:22" ht="15.75" customHeight="1" x14ac:dyDescent="0.2">
      <c r="A18" s="29"/>
      <c r="B18" s="29"/>
      <c r="C18" s="29"/>
      <c r="D18" s="29"/>
      <c r="E18" s="29"/>
      <c r="F18" s="14"/>
      <c r="G18" s="14"/>
      <c r="H18" s="14"/>
      <c r="P18"/>
      <c r="Q18"/>
      <c r="R18"/>
      <c r="T18" s="84" t="s">
        <v>483</v>
      </c>
      <c r="U18" s="84">
        <f>COUNTIF($B$33:$B$232,$T18)</f>
        <v>1</v>
      </c>
      <c r="V18" s="86">
        <f>$U18/(200-COUNTBLANK($B$33:$B$232))</f>
        <v>7.7519379844961239E-3</v>
      </c>
    </row>
    <row r="19" spans="1:22" ht="15" customHeight="1" x14ac:dyDescent="0.2">
      <c r="A19" s="29"/>
      <c r="B19" s="29"/>
      <c r="C19" s="29"/>
      <c r="D19" s="29"/>
      <c r="E19" s="29"/>
      <c r="F19" s="14"/>
      <c r="G19" s="14"/>
      <c r="H19" s="14"/>
      <c r="P19"/>
      <c r="Q19"/>
      <c r="R19"/>
      <c r="T19" s="84" t="s">
        <v>500</v>
      </c>
      <c r="U19" s="84">
        <f>COUNTIF($B$33:$B$232,$T19)</f>
        <v>1</v>
      </c>
      <c r="V19" s="86">
        <f>$U19/(200-COUNTBLANK($B$33:$B$232))</f>
        <v>7.7519379844961239E-3</v>
      </c>
    </row>
    <row r="20" spans="1:22" ht="15.75" customHeight="1" x14ac:dyDescent="0.2">
      <c r="A20" s="29"/>
      <c r="B20" s="29"/>
      <c r="C20" s="29"/>
      <c r="D20" s="29"/>
      <c r="E20" s="29"/>
      <c r="F20" s="14"/>
      <c r="G20" s="14"/>
      <c r="H20" s="14"/>
      <c r="P20"/>
      <c r="Q20"/>
      <c r="R20"/>
      <c r="T20" s="84" t="s">
        <v>497</v>
      </c>
      <c r="U20" s="84">
        <f>COUNTIF($B$33:$B$232,$T20)</f>
        <v>1</v>
      </c>
      <c r="V20" s="86">
        <f>$U20/(200-COUNTBLANK($B$33:$B$232))</f>
        <v>7.7519379844961239E-3</v>
      </c>
    </row>
    <row r="21" spans="1:22" ht="15.75" customHeight="1" x14ac:dyDescent="0.2">
      <c r="A21" s="29"/>
      <c r="B21" s="29"/>
      <c r="C21" s="29"/>
      <c r="D21" s="29"/>
      <c r="E21" s="29"/>
      <c r="F21" s="14"/>
      <c r="G21" s="14"/>
      <c r="H21" s="14"/>
      <c r="P21"/>
      <c r="Q21"/>
      <c r="R21"/>
      <c r="T21" s="84" t="s">
        <v>501</v>
      </c>
      <c r="U21" s="84">
        <f>COUNTIF($B$33:$B$232,$T21)</f>
        <v>1</v>
      </c>
      <c r="V21" s="86">
        <f>$U21/(200-COUNTBLANK($B$33:$B$232))</f>
        <v>7.7519379844961239E-3</v>
      </c>
    </row>
    <row r="22" spans="1:22" ht="15.75" customHeight="1" x14ac:dyDescent="0.2">
      <c r="A22" s="29"/>
      <c r="B22" s="29"/>
      <c r="C22" s="29"/>
      <c r="D22" s="29"/>
      <c r="E22" s="29"/>
      <c r="F22" s="14"/>
      <c r="G22" s="14"/>
      <c r="H22" s="14"/>
      <c r="P22"/>
      <c r="Q22"/>
      <c r="R22"/>
    </row>
    <row r="23" spans="1:22" ht="15.75" customHeight="1" x14ac:dyDescent="0.2">
      <c r="A23" s="29"/>
      <c r="B23" s="29"/>
      <c r="C23" s="29"/>
      <c r="D23" s="29"/>
      <c r="E23" s="29"/>
      <c r="F23" s="14"/>
      <c r="G23" s="14"/>
      <c r="H23" s="14"/>
      <c r="P23"/>
      <c r="Q23"/>
      <c r="R23"/>
    </row>
    <row r="24" spans="1:22" ht="15.75" customHeight="1" x14ac:dyDescent="0.2">
      <c r="A24" s="29"/>
      <c r="B24" s="29"/>
      <c r="C24" s="29"/>
      <c r="D24" s="29"/>
      <c r="E24" s="29"/>
      <c r="F24" s="14"/>
      <c r="G24" s="14"/>
      <c r="H24" s="14"/>
      <c r="P24"/>
      <c r="Q24"/>
      <c r="R24"/>
    </row>
    <row r="25" spans="1:22" ht="15.75" customHeight="1" x14ac:dyDescent="0.2">
      <c r="A25" s="29"/>
      <c r="B25" s="29"/>
      <c r="C25" s="29"/>
      <c r="D25" s="29"/>
      <c r="E25" s="29"/>
      <c r="F25" s="14"/>
      <c r="G25" s="14"/>
      <c r="H25" s="14"/>
      <c r="P25"/>
      <c r="Q25"/>
      <c r="R25"/>
    </row>
    <row r="26" spans="1:22" ht="15.75" customHeight="1" x14ac:dyDescent="0.2">
      <c r="A26" s="29"/>
      <c r="B26" s="29"/>
      <c r="C26" s="29"/>
      <c r="D26" s="29"/>
      <c r="E26" s="29"/>
      <c r="F26" s="14"/>
      <c r="G26" s="14"/>
      <c r="H26" s="14"/>
      <c r="P26"/>
      <c r="Q26"/>
      <c r="R26"/>
    </row>
    <row r="27" spans="1:22" ht="11" customHeight="1" x14ac:dyDescent="0.2">
      <c r="A27" s="29"/>
      <c r="B27" s="29"/>
      <c r="C27" s="29"/>
      <c r="D27" s="29"/>
      <c r="E27" s="29"/>
      <c r="F27" s="14"/>
      <c r="G27" s="14"/>
      <c r="H27" s="14"/>
      <c r="P27"/>
      <c r="Q27"/>
      <c r="R27"/>
    </row>
    <row r="28" spans="1:22" ht="15.75" customHeight="1" x14ac:dyDescent="0.2">
      <c r="A28" s="27"/>
      <c r="B28" s="27"/>
      <c r="C28" s="27"/>
      <c r="D28" s="27"/>
      <c r="E28" s="67"/>
      <c r="F28" s="67"/>
      <c r="G28" s="67"/>
      <c r="H28" s="14"/>
      <c r="P28"/>
      <c r="Q28"/>
      <c r="R28"/>
    </row>
    <row r="29" spans="1:22" ht="15.75" customHeight="1" x14ac:dyDescent="0.2">
      <c r="A29" s="27"/>
      <c r="B29" s="27"/>
      <c r="C29" s="27"/>
      <c r="D29" s="27"/>
      <c r="E29" s="24"/>
      <c r="F29" s="24"/>
      <c r="G29" s="24"/>
      <c r="H29" s="14"/>
      <c r="P29"/>
      <c r="Q29"/>
      <c r="R29"/>
    </row>
    <row r="30" spans="1:22" ht="15.75" customHeight="1" x14ac:dyDescent="0.2">
      <c r="A30" s="67"/>
      <c r="B30" s="67"/>
      <c r="C30" s="67"/>
      <c r="D30" s="83"/>
      <c r="E30" s="24"/>
      <c r="F30" s="24"/>
      <c r="G30" s="24"/>
      <c r="H30" s="14"/>
      <c r="P30"/>
      <c r="Q30"/>
      <c r="R30"/>
    </row>
    <row r="31" spans="1:22" ht="15.75" customHeight="1" x14ac:dyDescent="0.2">
      <c r="A31" s="27"/>
      <c r="B31" s="27"/>
      <c r="C31" s="27"/>
      <c r="D31" s="27"/>
      <c r="E31" s="24"/>
      <c r="F31" s="24"/>
      <c r="G31" s="24"/>
      <c r="H31" s="14"/>
      <c r="P31"/>
      <c r="Q31"/>
      <c r="R31"/>
    </row>
    <row r="32" spans="1:22" ht="17" thickBot="1" x14ac:dyDescent="0.25">
      <c r="A32" s="81" t="s">
        <v>475</v>
      </c>
      <c r="B32" s="82" t="s">
        <v>476</v>
      </c>
      <c r="C32" s="82" t="s">
        <v>477</v>
      </c>
      <c r="D32" s="19"/>
      <c r="E32" s="19"/>
      <c r="N32" s="16"/>
      <c r="P32" s="17"/>
      <c r="Q32"/>
      <c r="R32"/>
    </row>
    <row r="33" spans="1:18" ht="17" thickTop="1" x14ac:dyDescent="0.2">
      <c r="A33"/>
      <c r="B33"/>
      <c r="C33"/>
      <c r="D33" s="19"/>
      <c r="E33" s="19"/>
      <c r="N33" s="16"/>
      <c r="P33" s="17"/>
      <c r="Q33"/>
      <c r="R33"/>
    </row>
    <row r="34" spans="1:18" x14ac:dyDescent="0.2">
      <c r="A34"/>
      <c r="B34"/>
      <c r="C34"/>
      <c r="D34" s="19"/>
      <c r="E34" s="19"/>
      <c r="N34" s="16"/>
      <c r="P34" s="17"/>
      <c r="Q34"/>
      <c r="R34"/>
    </row>
    <row r="35" spans="1:18" x14ac:dyDescent="0.2">
      <c r="A35"/>
      <c r="B35"/>
      <c r="C35"/>
      <c r="D35" s="19"/>
      <c r="E35" s="19"/>
      <c r="N35" s="16"/>
      <c r="P35" s="17"/>
      <c r="Q35"/>
      <c r="R35"/>
    </row>
    <row r="36" spans="1:18" x14ac:dyDescent="0.2">
      <c r="A36"/>
      <c r="B36"/>
      <c r="C36"/>
      <c r="D36" s="19"/>
      <c r="E36" s="19"/>
      <c r="N36" s="16"/>
      <c r="P36" s="17"/>
      <c r="Q36"/>
      <c r="R36"/>
    </row>
    <row r="37" spans="1:18" x14ac:dyDescent="0.2">
      <c r="A37"/>
      <c r="B37"/>
      <c r="C37"/>
      <c r="D37" s="19"/>
      <c r="E37" s="19"/>
      <c r="N37" s="16"/>
      <c r="P37" s="17"/>
      <c r="Q37"/>
      <c r="R37"/>
    </row>
    <row r="38" spans="1:18" x14ac:dyDescent="0.2">
      <c r="A38"/>
      <c r="B38"/>
      <c r="C38"/>
      <c r="D38" s="19"/>
      <c r="E38" s="19"/>
      <c r="N38" s="16"/>
      <c r="P38" s="17"/>
      <c r="Q38"/>
      <c r="R38"/>
    </row>
    <row r="39" spans="1:18" x14ac:dyDescent="0.2">
      <c r="A39"/>
      <c r="B39"/>
      <c r="C39"/>
      <c r="D39" s="19"/>
      <c r="E39" s="19"/>
      <c r="N39" s="16"/>
      <c r="P39" s="17"/>
      <c r="Q39"/>
      <c r="R39"/>
    </row>
    <row r="40" spans="1:18" x14ac:dyDescent="0.2">
      <c r="A40"/>
      <c r="B40"/>
      <c r="C40"/>
      <c r="D40" s="19"/>
      <c r="E40" s="19"/>
      <c r="N40" s="16"/>
      <c r="P40" s="17"/>
      <c r="Q40"/>
      <c r="R40"/>
    </row>
    <row r="41" spans="1:18" x14ac:dyDescent="0.2">
      <c r="A41"/>
      <c r="B41"/>
      <c r="C41"/>
      <c r="D41" s="19"/>
      <c r="E41" s="19"/>
      <c r="N41" s="16"/>
      <c r="P41" s="17"/>
      <c r="Q41"/>
      <c r="R41"/>
    </row>
    <row r="42" spans="1:18" x14ac:dyDescent="0.2">
      <c r="A42"/>
      <c r="B42"/>
      <c r="C42"/>
      <c r="D42" s="19"/>
      <c r="E42" s="19"/>
      <c r="N42" s="16"/>
      <c r="P42" s="17"/>
      <c r="Q42"/>
      <c r="R42"/>
    </row>
    <row r="43" spans="1:18" x14ac:dyDescent="0.2">
      <c r="A43"/>
      <c r="B43"/>
      <c r="C43"/>
      <c r="D43" s="19"/>
      <c r="E43" s="19"/>
      <c r="N43" s="16"/>
      <c r="P43" s="17"/>
      <c r="Q43"/>
      <c r="R43"/>
    </row>
    <row r="44" spans="1:18" x14ac:dyDescent="0.2">
      <c r="A44"/>
      <c r="B44"/>
      <c r="C44"/>
      <c r="D44" s="19"/>
      <c r="E44" s="19"/>
      <c r="N44" s="16"/>
      <c r="P44" s="17"/>
      <c r="Q44"/>
      <c r="R44"/>
    </row>
    <row r="45" spans="1:18" x14ac:dyDescent="0.2">
      <c r="A45"/>
      <c r="B45"/>
      <c r="C45"/>
      <c r="D45" s="19"/>
      <c r="E45" s="19"/>
      <c r="N45" s="16"/>
      <c r="P45" s="17"/>
      <c r="Q45"/>
      <c r="R45"/>
    </row>
    <row r="46" spans="1:18" x14ac:dyDescent="0.2">
      <c r="A46"/>
      <c r="B46"/>
      <c r="C46"/>
      <c r="D46" s="19"/>
      <c r="E46" s="19"/>
      <c r="N46" s="16"/>
      <c r="P46" s="17"/>
      <c r="Q46"/>
      <c r="R46"/>
    </row>
    <row r="47" spans="1:18" x14ac:dyDescent="0.2">
      <c r="A47"/>
      <c r="B47"/>
      <c r="C47"/>
      <c r="D47" s="19"/>
      <c r="E47" s="19"/>
      <c r="N47" s="16"/>
      <c r="P47" s="17"/>
      <c r="Q47"/>
      <c r="R47"/>
    </row>
    <row r="48" spans="1:18" x14ac:dyDescent="0.2">
      <c r="A48"/>
      <c r="B48"/>
      <c r="C48"/>
      <c r="D48" s="19"/>
      <c r="E48" s="19"/>
      <c r="N48" s="16"/>
      <c r="P48" s="17"/>
      <c r="Q48"/>
      <c r="R48"/>
    </row>
    <row r="49" spans="1:18" x14ac:dyDescent="0.2">
      <c r="A49"/>
      <c r="B49"/>
      <c r="C49"/>
      <c r="D49" s="19"/>
      <c r="E49" s="19"/>
      <c r="N49" s="16"/>
      <c r="P49" s="17"/>
      <c r="Q49"/>
      <c r="R49"/>
    </row>
    <row r="50" spans="1:18" x14ac:dyDescent="0.2">
      <c r="A50"/>
      <c r="B50"/>
      <c r="C50"/>
      <c r="D50" s="19"/>
      <c r="E50" s="19"/>
      <c r="N50" s="16"/>
      <c r="P50" s="17"/>
      <c r="Q50"/>
      <c r="R50"/>
    </row>
    <row r="51" spans="1:18" x14ac:dyDescent="0.2">
      <c r="A51"/>
      <c r="B51"/>
      <c r="C51"/>
      <c r="D51" s="19"/>
      <c r="E51" s="19"/>
      <c r="N51" s="16"/>
      <c r="P51" s="17"/>
      <c r="Q51"/>
      <c r="R51"/>
    </row>
    <row r="52" spans="1:18" x14ac:dyDescent="0.2">
      <c r="A52"/>
      <c r="B52"/>
      <c r="C52"/>
      <c r="D52" s="19"/>
      <c r="E52" s="19"/>
      <c r="F52" s="19"/>
      <c r="N52" s="16"/>
      <c r="P52" s="17"/>
      <c r="Q52"/>
      <c r="R52"/>
    </row>
    <row r="53" spans="1:18" x14ac:dyDescent="0.2">
      <c r="A53"/>
      <c r="B53"/>
      <c r="C53"/>
      <c r="D53" s="19"/>
      <c r="E53" s="19"/>
      <c r="N53" s="16"/>
      <c r="P53" s="17"/>
      <c r="Q53"/>
      <c r="R53"/>
    </row>
    <row r="54" spans="1:18" x14ac:dyDescent="0.2">
      <c r="A54"/>
      <c r="B54"/>
      <c r="C54"/>
      <c r="D54" s="19"/>
      <c r="E54" s="19"/>
      <c r="F54" s="19"/>
      <c r="N54" s="16"/>
      <c r="P54" s="17"/>
      <c r="Q54"/>
      <c r="R54"/>
    </row>
    <row r="55" spans="1:18" x14ac:dyDescent="0.2">
      <c r="A55"/>
      <c r="B55"/>
      <c r="C55"/>
      <c r="D55" s="19"/>
      <c r="E55" s="19"/>
      <c r="N55" s="16"/>
      <c r="P55" s="17"/>
      <c r="Q55"/>
      <c r="R55"/>
    </row>
    <row r="56" spans="1:18" x14ac:dyDescent="0.2">
      <c r="A56"/>
      <c r="B56"/>
      <c r="C56"/>
      <c r="D56" s="19"/>
      <c r="E56" s="19"/>
      <c r="N56" s="16"/>
      <c r="P56" s="17"/>
      <c r="Q56"/>
      <c r="R56"/>
    </row>
    <row r="57" spans="1:18" x14ac:dyDescent="0.2">
      <c r="A57"/>
      <c r="B57"/>
      <c r="C57"/>
      <c r="D57" s="19"/>
      <c r="E57" s="19"/>
      <c r="N57" s="16"/>
      <c r="P57" s="17"/>
      <c r="Q57"/>
      <c r="R57"/>
    </row>
    <row r="58" spans="1:18" x14ac:dyDescent="0.2">
      <c r="A58"/>
      <c r="B58"/>
      <c r="C58"/>
      <c r="D58" s="19"/>
      <c r="E58" s="19"/>
      <c r="N58" s="16"/>
      <c r="P58" s="17"/>
      <c r="Q58"/>
      <c r="R58"/>
    </row>
    <row r="59" spans="1:18" x14ac:dyDescent="0.2">
      <c r="A59"/>
      <c r="B59"/>
      <c r="C59"/>
      <c r="D59" s="19"/>
      <c r="E59" s="19"/>
      <c r="N59" s="16"/>
      <c r="P59" s="17"/>
      <c r="Q59"/>
      <c r="R59"/>
    </row>
    <row r="60" spans="1:18" x14ac:dyDescent="0.2">
      <c r="A60"/>
      <c r="B60"/>
      <c r="C60"/>
      <c r="D60" s="19"/>
      <c r="E60" s="19"/>
      <c r="J60" s="30"/>
      <c r="K60" s="30"/>
      <c r="L60" s="30"/>
      <c r="M60" s="30"/>
      <c r="N60" s="16"/>
      <c r="P60" s="17"/>
      <c r="Q60"/>
      <c r="R60"/>
    </row>
    <row r="61" spans="1:18" x14ac:dyDescent="0.2">
      <c r="A61" s="17"/>
      <c r="B61"/>
      <c r="C61"/>
      <c r="D61" s="19"/>
      <c r="E61" s="19"/>
      <c r="N61" s="16"/>
      <c r="P61" s="17"/>
      <c r="Q61"/>
      <c r="R61"/>
    </row>
    <row r="62" spans="1:18" x14ac:dyDescent="0.2">
      <c r="A62" s="17"/>
      <c r="B62"/>
      <c r="C62"/>
      <c r="D62" s="19"/>
      <c r="E62" s="19"/>
      <c r="N62" s="16"/>
      <c r="P62" s="17"/>
      <c r="Q62"/>
      <c r="R62"/>
    </row>
    <row r="63" spans="1:18" x14ac:dyDescent="0.2">
      <c r="A63" s="17"/>
      <c r="B63"/>
      <c r="C63"/>
      <c r="D63" s="19"/>
      <c r="E63" s="19"/>
      <c r="N63" s="16"/>
      <c r="P63" s="17"/>
      <c r="Q63"/>
      <c r="R63"/>
    </row>
    <row r="64" spans="1:18" x14ac:dyDescent="0.2">
      <c r="A64" s="17"/>
      <c r="B64"/>
      <c r="C64"/>
      <c r="D64" s="19"/>
      <c r="E64" s="19"/>
      <c r="F64" s="19"/>
      <c r="G64" s="19"/>
      <c r="H64" s="30"/>
      <c r="I64" s="30"/>
      <c r="J64" s="30"/>
      <c r="P64" s="17"/>
      <c r="Q64"/>
      <c r="R64"/>
    </row>
    <row r="65" spans="1:18" ht="16" customHeight="1" x14ac:dyDescent="0.2">
      <c r="A65" s="17"/>
      <c r="B65"/>
      <c r="C65"/>
      <c r="D65" s="19"/>
      <c r="E65" s="19"/>
      <c r="F65" s="19"/>
      <c r="G65" s="19"/>
      <c r="P65" s="17"/>
      <c r="Q65"/>
      <c r="R65"/>
    </row>
    <row r="66" spans="1:18" x14ac:dyDescent="0.2">
      <c r="A66" s="17"/>
      <c r="B66"/>
      <c r="C66"/>
      <c r="D66" s="19"/>
      <c r="E66" s="19"/>
      <c r="P66" s="17"/>
      <c r="Q66"/>
      <c r="R66"/>
    </row>
    <row r="67" spans="1:18" x14ac:dyDescent="0.2">
      <c r="A67" s="17"/>
      <c r="B67"/>
      <c r="C67"/>
      <c r="D67" s="19"/>
      <c r="E67" s="19"/>
      <c r="P67" s="17"/>
      <c r="Q67"/>
      <c r="R67"/>
    </row>
    <row r="68" spans="1:18" x14ac:dyDescent="0.2">
      <c r="A68" s="17"/>
      <c r="B68"/>
      <c r="C68"/>
      <c r="D68" s="19"/>
      <c r="E68" s="19"/>
      <c r="P68" s="17"/>
      <c r="Q68"/>
      <c r="R68"/>
    </row>
    <row r="69" spans="1:18" x14ac:dyDescent="0.2">
      <c r="A69" s="17"/>
      <c r="B69"/>
      <c r="C69"/>
      <c r="D69" s="19"/>
      <c r="E69" s="19"/>
      <c r="P69" s="17"/>
      <c r="Q69"/>
      <c r="R69"/>
    </row>
    <row r="70" spans="1:18" x14ac:dyDescent="0.2">
      <c r="A70" s="17"/>
      <c r="B70"/>
      <c r="C70"/>
      <c r="D70" s="19"/>
      <c r="E70" s="19"/>
      <c r="F70" s="19"/>
      <c r="G70" s="19"/>
      <c r="P70" s="17"/>
      <c r="Q70"/>
      <c r="R70"/>
    </row>
    <row r="71" spans="1:18" x14ac:dyDescent="0.2">
      <c r="A71" s="17"/>
      <c r="B71"/>
      <c r="C71"/>
      <c r="D71" s="19"/>
      <c r="E71" s="19"/>
      <c r="P71" s="17"/>
      <c r="Q71"/>
      <c r="R71"/>
    </row>
    <row r="72" spans="1:18" x14ac:dyDescent="0.2">
      <c r="A72" s="17"/>
      <c r="B72"/>
      <c r="C72"/>
      <c r="D72" s="19"/>
      <c r="E72" s="19"/>
      <c r="P72" s="17"/>
      <c r="Q72"/>
      <c r="R72"/>
    </row>
    <row r="73" spans="1:18" x14ac:dyDescent="0.2">
      <c r="A73" s="17"/>
      <c r="B73"/>
      <c r="C73"/>
      <c r="D73" s="19"/>
      <c r="E73" s="19"/>
      <c r="P73" s="17"/>
      <c r="Q73"/>
      <c r="R73"/>
    </row>
    <row r="74" spans="1:18" x14ac:dyDescent="0.2">
      <c r="A74" s="17"/>
      <c r="B74"/>
      <c r="C74"/>
      <c r="D74" s="19"/>
      <c r="E74" s="19"/>
      <c r="P74" s="17"/>
      <c r="Q74"/>
      <c r="R74"/>
    </row>
    <row r="75" spans="1:18" x14ac:dyDescent="0.2">
      <c r="A75" s="17"/>
      <c r="B75"/>
      <c r="C75"/>
      <c r="D75" s="19"/>
      <c r="E75" s="19"/>
      <c r="P75" s="17"/>
      <c r="Q75"/>
      <c r="R75"/>
    </row>
    <row r="76" spans="1:18" x14ac:dyDescent="0.2">
      <c r="A76" s="17"/>
      <c r="B76"/>
      <c r="C76"/>
      <c r="D76" s="19"/>
      <c r="E76" s="19"/>
      <c r="P76" s="17"/>
      <c r="Q76"/>
      <c r="R76"/>
    </row>
    <row r="77" spans="1:18" x14ac:dyDescent="0.2">
      <c r="A77" s="17"/>
      <c r="B77"/>
      <c r="C77"/>
      <c r="D77" s="19"/>
      <c r="P77" s="17"/>
      <c r="Q77"/>
      <c r="R77"/>
    </row>
    <row r="78" spans="1:18" x14ac:dyDescent="0.2">
      <c r="A78" s="17"/>
      <c r="B78"/>
      <c r="C78"/>
      <c r="D78" s="19"/>
      <c r="P78" s="17"/>
      <c r="Q78"/>
      <c r="R78"/>
    </row>
    <row r="79" spans="1:18" x14ac:dyDescent="0.2">
      <c r="A79" s="17"/>
      <c r="B79"/>
      <c r="C79"/>
      <c r="D79" s="19"/>
      <c r="P79" s="17"/>
      <c r="Q79"/>
      <c r="R79"/>
    </row>
    <row r="80" spans="1:18" x14ac:dyDescent="0.2">
      <c r="A80" s="17"/>
      <c r="B80"/>
      <c r="C80"/>
      <c r="D80" s="19"/>
      <c r="P80" s="17"/>
      <c r="Q80"/>
      <c r="R80"/>
    </row>
    <row r="81" spans="1:18" x14ac:dyDescent="0.2">
      <c r="A81" s="17"/>
      <c r="B81"/>
      <c r="C81"/>
      <c r="D81" s="19"/>
      <c r="P81" s="17"/>
      <c r="Q81"/>
      <c r="R81"/>
    </row>
    <row r="82" spans="1:18" x14ac:dyDescent="0.2">
      <c r="A82" s="17"/>
      <c r="B82"/>
      <c r="C82"/>
      <c r="D82" s="19"/>
      <c r="P82" s="17"/>
      <c r="Q82"/>
      <c r="R82"/>
    </row>
    <row r="83" spans="1:18" x14ac:dyDescent="0.2">
      <c r="A83" s="17"/>
      <c r="B83"/>
      <c r="C83"/>
      <c r="D83" s="19"/>
      <c r="P83" s="17"/>
      <c r="Q83"/>
      <c r="R83"/>
    </row>
    <row r="84" spans="1:18" x14ac:dyDescent="0.2">
      <c r="A84" s="17"/>
      <c r="B84"/>
      <c r="C84"/>
      <c r="D84" s="19"/>
      <c r="P84" s="17"/>
      <c r="Q84"/>
      <c r="R84"/>
    </row>
    <row r="85" spans="1:18" x14ac:dyDescent="0.2">
      <c r="A85" s="17"/>
      <c r="B85"/>
      <c r="C85"/>
      <c r="D85" s="19"/>
      <c r="P85" s="17"/>
      <c r="Q85"/>
      <c r="R85"/>
    </row>
    <row r="86" spans="1:18" x14ac:dyDescent="0.2">
      <c r="A86" s="17"/>
      <c r="B86"/>
      <c r="C86"/>
      <c r="D86" s="19"/>
      <c r="P86" s="17"/>
      <c r="Q86"/>
      <c r="R86"/>
    </row>
    <row r="87" spans="1:18" x14ac:dyDescent="0.2">
      <c r="A87" s="17"/>
      <c r="B87"/>
      <c r="C87"/>
      <c r="D87" s="19"/>
      <c r="P87" s="17"/>
      <c r="Q87"/>
      <c r="R87"/>
    </row>
    <row r="88" spans="1:18" x14ac:dyDescent="0.2">
      <c r="A88" s="17"/>
      <c r="B88"/>
      <c r="C88"/>
      <c r="D88" s="19"/>
      <c r="P88" s="17"/>
      <c r="Q88"/>
      <c r="R88"/>
    </row>
    <row r="89" spans="1:18" x14ac:dyDescent="0.2">
      <c r="A89" s="17"/>
      <c r="B89"/>
      <c r="C89"/>
      <c r="D89" s="19"/>
      <c r="P89" s="17"/>
      <c r="Q89"/>
      <c r="R89"/>
    </row>
    <row r="90" spans="1:18" x14ac:dyDescent="0.2">
      <c r="A90" s="17"/>
      <c r="B90"/>
      <c r="C90"/>
      <c r="D90" s="19"/>
      <c r="P90" s="17"/>
      <c r="Q90"/>
      <c r="R90"/>
    </row>
    <row r="91" spans="1:18" x14ac:dyDescent="0.2">
      <c r="A91" s="17"/>
      <c r="B91"/>
      <c r="C91"/>
      <c r="D91" s="19"/>
      <c r="P91" s="17"/>
      <c r="Q91"/>
      <c r="R91"/>
    </row>
    <row r="92" spans="1:18" x14ac:dyDescent="0.2">
      <c r="A92" s="17"/>
      <c r="B92"/>
      <c r="C92"/>
      <c r="D92" s="19"/>
      <c r="P92" s="17"/>
      <c r="Q92"/>
      <c r="R92"/>
    </row>
    <row r="93" spans="1:18" x14ac:dyDescent="0.2">
      <c r="A93" s="17"/>
      <c r="B93"/>
      <c r="C93"/>
      <c r="D93" s="19"/>
      <c r="P93" s="17"/>
      <c r="Q93"/>
      <c r="R93"/>
    </row>
    <row r="94" spans="1:18" x14ac:dyDescent="0.2">
      <c r="A94" s="17"/>
      <c r="B94"/>
      <c r="C94"/>
      <c r="D94" s="19"/>
      <c r="P94" s="17"/>
      <c r="Q94"/>
      <c r="R94"/>
    </row>
    <row r="95" spans="1:18" x14ac:dyDescent="0.2">
      <c r="A95" s="17"/>
      <c r="B95"/>
      <c r="C95"/>
      <c r="D95" s="19"/>
      <c r="P95" s="17"/>
      <c r="Q95"/>
      <c r="R95"/>
    </row>
    <row r="96" spans="1:18" x14ac:dyDescent="0.2">
      <c r="A96" s="17"/>
      <c r="B96"/>
      <c r="C96"/>
      <c r="D96" s="19"/>
      <c r="P96" s="17"/>
      <c r="Q96"/>
      <c r="R96"/>
    </row>
    <row r="97" spans="1:18" x14ac:dyDescent="0.2">
      <c r="A97" s="17"/>
      <c r="B97"/>
      <c r="C97"/>
      <c r="D97" s="19"/>
      <c r="P97" s="17"/>
      <c r="Q97"/>
      <c r="R97"/>
    </row>
    <row r="98" spans="1:18" x14ac:dyDescent="0.2">
      <c r="A98" s="17"/>
      <c r="B98"/>
      <c r="C98"/>
      <c r="D98" s="19"/>
      <c r="P98" s="17"/>
      <c r="Q98"/>
      <c r="R98"/>
    </row>
    <row r="99" spans="1:18" x14ac:dyDescent="0.2">
      <c r="A99" s="17"/>
      <c r="B99"/>
      <c r="C99"/>
      <c r="D99" s="19"/>
      <c r="P99" s="17"/>
      <c r="Q99"/>
      <c r="R99"/>
    </row>
    <row r="100" spans="1:18" x14ac:dyDescent="0.2">
      <c r="A100" s="17"/>
      <c r="B100"/>
      <c r="C100"/>
      <c r="D100" s="19"/>
      <c r="P100" s="17"/>
      <c r="Q100"/>
      <c r="R100"/>
    </row>
    <row r="101" spans="1:18" x14ac:dyDescent="0.2">
      <c r="A101" s="17"/>
      <c r="B101"/>
      <c r="C101"/>
      <c r="D101" s="19"/>
      <c r="P101" s="17"/>
      <c r="Q101"/>
      <c r="R101"/>
    </row>
    <row r="102" spans="1:18" x14ac:dyDescent="0.2">
      <c r="A102" s="17"/>
      <c r="B102"/>
      <c r="C102"/>
      <c r="D102" s="19"/>
      <c r="P102" s="17"/>
      <c r="Q102"/>
      <c r="R102"/>
    </row>
    <row r="103" spans="1:18" x14ac:dyDescent="0.2">
      <c r="A103" s="17"/>
      <c r="B103"/>
      <c r="C103"/>
      <c r="D103" s="19"/>
      <c r="P103" s="17"/>
      <c r="Q103"/>
      <c r="R103"/>
    </row>
    <row r="104" spans="1:18" x14ac:dyDescent="0.2">
      <c r="A104" s="17"/>
      <c r="B104"/>
      <c r="C104"/>
      <c r="D104" s="19"/>
      <c r="P104" s="17"/>
      <c r="Q104"/>
      <c r="R104"/>
    </row>
    <row r="105" spans="1:18" x14ac:dyDescent="0.2">
      <c r="A105" s="17"/>
      <c r="B105"/>
      <c r="C105"/>
      <c r="D105" s="19"/>
      <c r="P105" s="17"/>
      <c r="Q105"/>
      <c r="R105"/>
    </row>
    <row r="106" spans="1:18" x14ac:dyDescent="0.2">
      <c r="A106" s="17"/>
      <c r="B106"/>
      <c r="C106"/>
      <c r="D106" s="19"/>
      <c r="P106" s="17"/>
      <c r="Q106"/>
      <c r="R106"/>
    </row>
    <row r="107" spans="1:18" x14ac:dyDescent="0.2">
      <c r="A107" s="17"/>
      <c r="B107"/>
      <c r="C107"/>
      <c r="D107" s="19"/>
      <c r="P107" s="17"/>
      <c r="Q107"/>
      <c r="R107"/>
    </row>
    <row r="108" spans="1:18" x14ac:dyDescent="0.2">
      <c r="A108" s="17"/>
      <c r="B108"/>
      <c r="C108"/>
      <c r="D108" s="19"/>
      <c r="P108" s="17"/>
      <c r="Q108"/>
      <c r="R108"/>
    </row>
    <row r="109" spans="1:18" x14ac:dyDescent="0.2">
      <c r="A109" s="17"/>
      <c r="B109"/>
      <c r="C109"/>
      <c r="D109" s="19"/>
      <c r="P109" s="17"/>
      <c r="Q109"/>
      <c r="R109"/>
    </row>
    <row r="110" spans="1:18" x14ac:dyDescent="0.2">
      <c r="A110" s="17"/>
      <c r="B110"/>
      <c r="C110"/>
      <c r="D110" s="19"/>
      <c r="P110" s="17"/>
      <c r="Q110"/>
      <c r="R110"/>
    </row>
    <row r="111" spans="1:18" x14ac:dyDescent="0.2">
      <c r="A111" s="17"/>
      <c r="B111"/>
      <c r="C111"/>
      <c r="D111" s="19"/>
      <c r="P111" s="17"/>
      <c r="Q111"/>
      <c r="R111"/>
    </row>
    <row r="112" spans="1:18" x14ac:dyDescent="0.2">
      <c r="A112" s="17"/>
      <c r="B112"/>
      <c r="C112"/>
      <c r="D112" s="19"/>
      <c r="P112" s="17"/>
      <c r="Q112"/>
      <c r="R112"/>
    </row>
    <row r="113" spans="1:18" x14ac:dyDescent="0.2">
      <c r="A113" s="17"/>
      <c r="B113"/>
      <c r="C113"/>
      <c r="D113" s="19"/>
      <c r="P113" s="17"/>
      <c r="Q113"/>
      <c r="R113"/>
    </row>
    <row r="114" spans="1:18" x14ac:dyDescent="0.2">
      <c r="A114" s="17"/>
      <c r="B114"/>
      <c r="C114"/>
      <c r="D114" s="19"/>
      <c r="P114" s="17"/>
      <c r="Q114"/>
      <c r="R114"/>
    </row>
    <row r="115" spans="1:18" x14ac:dyDescent="0.2">
      <c r="A115" s="17"/>
      <c r="B115"/>
      <c r="C115"/>
      <c r="D115" s="19"/>
      <c r="P115" s="17"/>
      <c r="Q115"/>
      <c r="R115"/>
    </row>
    <row r="116" spans="1:18" x14ac:dyDescent="0.2">
      <c r="A116" s="17"/>
      <c r="B116"/>
      <c r="C116"/>
      <c r="D116" s="19"/>
      <c r="P116" s="17"/>
      <c r="Q116"/>
      <c r="R116"/>
    </row>
    <row r="117" spans="1:18" x14ac:dyDescent="0.2">
      <c r="A117" s="17"/>
      <c r="B117"/>
      <c r="C117"/>
      <c r="D117" s="19"/>
      <c r="P117" s="17"/>
      <c r="Q117"/>
      <c r="R117"/>
    </row>
    <row r="118" spans="1:18" x14ac:dyDescent="0.2">
      <c r="A118" s="17"/>
      <c r="B118"/>
      <c r="C118"/>
      <c r="D118" s="19"/>
      <c r="P118" s="17"/>
      <c r="Q118"/>
      <c r="R118"/>
    </row>
    <row r="119" spans="1:18" x14ac:dyDescent="0.2">
      <c r="A119" s="17"/>
      <c r="B119"/>
      <c r="C119"/>
      <c r="D119" s="19"/>
      <c r="P119" s="17"/>
      <c r="Q119"/>
      <c r="R119"/>
    </row>
    <row r="120" spans="1:18" x14ac:dyDescent="0.2">
      <c r="A120" s="17"/>
      <c r="B120"/>
      <c r="C120"/>
      <c r="D120" s="19"/>
      <c r="P120" s="17"/>
      <c r="Q120"/>
      <c r="R120"/>
    </row>
    <row r="121" spans="1:18" x14ac:dyDescent="0.2">
      <c r="A121" s="17"/>
      <c r="B121"/>
      <c r="C121"/>
      <c r="D121" s="19"/>
      <c r="P121" s="17"/>
      <c r="Q121"/>
      <c r="R121"/>
    </row>
    <row r="122" spans="1:18" x14ac:dyDescent="0.2">
      <c r="A122" s="17"/>
      <c r="B122"/>
      <c r="C122"/>
      <c r="D122" s="19"/>
      <c r="P122" s="17"/>
      <c r="Q122"/>
      <c r="R122"/>
    </row>
    <row r="123" spans="1:18" x14ac:dyDescent="0.2">
      <c r="A123" s="17"/>
      <c r="B123"/>
      <c r="C123"/>
      <c r="D123" s="19"/>
      <c r="P123" s="17"/>
      <c r="Q123"/>
      <c r="R123"/>
    </row>
    <row r="124" spans="1:18" x14ac:dyDescent="0.2">
      <c r="A124" s="17"/>
      <c r="B124"/>
      <c r="C124"/>
      <c r="D124" s="19"/>
      <c r="P124" s="17"/>
      <c r="Q124"/>
      <c r="R124"/>
    </row>
    <row r="125" spans="1:18" x14ac:dyDescent="0.2">
      <c r="A125" s="17"/>
      <c r="B125"/>
      <c r="C125"/>
      <c r="D125" s="19"/>
      <c r="P125" s="17"/>
      <c r="Q125"/>
      <c r="R125"/>
    </row>
    <row r="126" spans="1:18" x14ac:dyDescent="0.2">
      <c r="A126" s="17"/>
      <c r="B126"/>
      <c r="C126"/>
      <c r="D126" s="19"/>
      <c r="P126" s="17"/>
      <c r="Q126"/>
      <c r="R126"/>
    </row>
    <row r="127" spans="1:18" x14ac:dyDescent="0.2">
      <c r="A127" s="17"/>
      <c r="B127"/>
      <c r="C127"/>
      <c r="D127" s="19"/>
      <c r="P127" s="17"/>
      <c r="Q127"/>
      <c r="R127"/>
    </row>
    <row r="128" spans="1:18" x14ac:dyDescent="0.2">
      <c r="A128" s="17"/>
      <c r="B128"/>
      <c r="C128"/>
      <c r="D128" s="19"/>
      <c r="P128" s="17"/>
      <c r="Q128"/>
      <c r="R128"/>
    </row>
    <row r="129" spans="1:18" x14ac:dyDescent="0.2">
      <c r="A129" s="17"/>
      <c r="B129"/>
      <c r="C129"/>
      <c r="D129" s="19"/>
      <c r="P129" s="17"/>
      <c r="Q129"/>
      <c r="R129"/>
    </row>
    <row r="130" spans="1:18" x14ac:dyDescent="0.2">
      <c r="A130" s="17"/>
      <c r="B130"/>
      <c r="C130"/>
      <c r="D130" s="19"/>
      <c r="P130" s="17"/>
      <c r="Q130"/>
      <c r="R130"/>
    </row>
    <row r="131" spans="1:18" x14ac:dyDescent="0.2">
      <c r="A131" s="17"/>
      <c r="B131"/>
      <c r="C131"/>
      <c r="D131" s="19"/>
      <c r="P131" s="17"/>
      <c r="Q131"/>
      <c r="R131"/>
    </row>
    <row r="132" spans="1:18" x14ac:dyDescent="0.2">
      <c r="A132" s="17"/>
      <c r="B132"/>
      <c r="C132"/>
      <c r="D132" s="19"/>
      <c r="P132" s="17"/>
      <c r="Q132"/>
      <c r="R132"/>
    </row>
    <row r="133" spans="1:18" x14ac:dyDescent="0.2">
      <c r="A133" s="17"/>
      <c r="B133"/>
      <c r="C133"/>
      <c r="D133" s="19"/>
    </row>
    <row r="134" spans="1:18" x14ac:dyDescent="0.2">
      <c r="A134" s="17"/>
      <c r="B134"/>
      <c r="C134"/>
      <c r="D134" s="19"/>
    </row>
    <row r="135" spans="1:18" x14ac:dyDescent="0.2">
      <c r="A135" s="17"/>
      <c r="B135"/>
      <c r="C135"/>
      <c r="D135" s="19"/>
    </row>
    <row r="136" spans="1:18" x14ac:dyDescent="0.2">
      <c r="A136" s="17"/>
      <c r="B136"/>
      <c r="C136"/>
      <c r="D136" s="19"/>
    </row>
    <row r="137" spans="1:18" x14ac:dyDescent="0.2">
      <c r="A137" s="17"/>
      <c r="B137"/>
      <c r="C137"/>
      <c r="D137" s="19"/>
    </row>
    <row r="138" spans="1:18" x14ac:dyDescent="0.2">
      <c r="A138" s="17"/>
      <c r="B138"/>
      <c r="C138"/>
      <c r="D138" s="19"/>
    </row>
    <row r="139" spans="1:18" x14ac:dyDescent="0.2">
      <c r="A139" s="17"/>
      <c r="B139"/>
      <c r="C139"/>
      <c r="D139" s="19"/>
    </row>
    <row r="140" spans="1:18" x14ac:dyDescent="0.2">
      <c r="A140" s="17"/>
      <c r="B140"/>
      <c r="C140"/>
      <c r="D140" s="19"/>
    </row>
    <row r="141" spans="1:18" x14ac:dyDescent="0.2">
      <c r="A141" s="17"/>
      <c r="B141"/>
      <c r="C141"/>
      <c r="D141" s="19"/>
    </row>
    <row r="142" spans="1:18" x14ac:dyDescent="0.2">
      <c r="A142" s="17"/>
      <c r="B142"/>
      <c r="C142"/>
      <c r="D142" s="19"/>
    </row>
    <row r="143" spans="1:18" x14ac:dyDescent="0.2">
      <c r="A143" s="17"/>
      <c r="B143"/>
      <c r="C143"/>
      <c r="D143" s="19"/>
    </row>
    <row r="144" spans="1:18" x14ac:dyDescent="0.2">
      <c r="A144" s="17"/>
      <c r="B144"/>
      <c r="C144"/>
      <c r="D144" s="19"/>
    </row>
    <row r="145" spans="1:4" x14ac:dyDescent="0.2">
      <c r="A145" s="17"/>
      <c r="B145"/>
      <c r="C145"/>
      <c r="D145" s="19"/>
    </row>
    <row r="146" spans="1:4" x14ac:dyDescent="0.2">
      <c r="A146" s="17"/>
      <c r="B146"/>
      <c r="C146"/>
      <c r="D146" s="19"/>
    </row>
    <row r="147" spans="1:4" x14ac:dyDescent="0.2">
      <c r="A147" s="17"/>
      <c r="B147"/>
      <c r="C147"/>
      <c r="D147" s="19"/>
    </row>
    <row r="148" spans="1:4" x14ac:dyDescent="0.2">
      <c r="A148" s="17"/>
      <c r="B148"/>
      <c r="C148"/>
      <c r="D148" s="19"/>
    </row>
    <row r="149" spans="1:4" x14ac:dyDescent="0.2">
      <c r="A149" s="17"/>
      <c r="B149"/>
      <c r="C149"/>
      <c r="D149" s="19"/>
    </row>
    <row r="150" spans="1:4" x14ac:dyDescent="0.2">
      <c r="A150" s="17"/>
      <c r="B150"/>
      <c r="C150"/>
      <c r="D150" s="19"/>
    </row>
    <row r="151" spans="1:4" x14ac:dyDescent="0.2">
      <c r="A151" s="17"/>
      <c r="B151"/>
      <c r="C151"/>
      <c r="D151" s="19"/>
    </row>
    <row r="152" spans="1:4" x14ac:dyDescent="0.2">
      <c r="A152" s="17"/>
      <c r="B152"/>
      <c r="C152"/>
      <c r="D152" s="19"/>
    </row>
    <row r="153" spans="1:4" x14ac:dyDescent="0.2">
      <c r="A153" s="17"/>
      <c r="B153"/>
      <c r="C153"/>
      <c r="D153" s="19"/>
    </row>
    <row r="154" spans="1:4" x14ac:dyDescent="0.2">
      <c r="A154" s="17"/>
      <c r="B154"/>
      <c r="C154"/>
      <c r="D154" s="19"/>
    </row>
    <row r="155" spans="1:4" x14ac:dyDescent="0.2">
      <c r="A155" s="17"/>
      <c r="B155"/>
      <c r="C155"/>
      <c r="D155" s="19"/>
    </row>
    <row r="156" spans="1:4" x14ac:dyDescent="0.2">
      <c r="A156" s="17"/>
      <c r="B156"/>
      <c r="C156"/>
      <c r="D156" s="19"/>
    </row>
    <row r="157" spans="1:4" x14ac:dyDescent="0.2">
      <c r="A157" s="17"/>
      <c r="B157"/>
      <c r="C157"/>
      <c r="D157" s="19"/>
    </row>
    <row r="158" spans="1:4" x14ac:dyDescent="0.2">
      <c r="A158" s="17"/>
      <c r="B158"/>
      <c r="C158"/>
      <c r="D158" s="19"/>
    </row>
    <row r="159" spans="1:4" x14ac:dyDescent="0.2">
      <c r="A159" s="17"/>
      <c r="B159"/>
      <c r="C159"/>
      <c r="D159" s="19"/>
    </row>
    <row r="160" spans="1:4" x14ac:dyDescent="0.2">
      <c r="A160" s="17"/>
      <c r="B160"/>
      <c r="C160"/>
      <c r="D160" s="19"/>
    </row>
    <row r="161" spans="1:4" x14ac:dyDescent="0.2">
      <c r="A161" s="17"/>
      <c r="B161"/>
      <c r="C161"/>
      <c r="D161" s="19"/>
    </row>
    <row r="162" spans="1:4" x14ac:dyDescent="0.2">
      <c r="A162" s="19"/>
      <c r="D162" s="19"/>
    </row>
    <row r="163" spans="1:4" x14ac:dyDescent="0.2">
      <c r="A163" s="19"/>
      <c r="D163" s="19"/>
    </row>
    <row r="164" spans="1:4" x14ac:dyDescent="0.2">
      <c r="A164" s="19"/>
      <c r="D164" s="19"/>
    </row>
    <row r="165" spans="1:4" x14ac:dyDescent="0.2">
      <c r="A165" s="19"/>
      <c r="D165" s="19"/>
    </row>
    <row r="166" spans="1:4" x14ac:dyDescent="0.2">
      <c r="A166" s="19"/>
      <c r="D166" s="19"/>
    </row>
    <row r="167" spans="1:4" x14ac:dyDescent="0.2">
      <c r="A167" s="19"/>
      <c r="D167" s="19"/>
    </row>
    <row r="168" spans="1:4" x14ac:dyDescent="0.2">
      <c r="A168" s="19"/>
      <c r="D168" s="19"/>
    </row>
    <row r="169" spans="1:4" x14ac:dyDescent="0.2">
      <c r="A169" s="19"/>
      <c r="D169" s="19"/>
    </row>
    <row r="170" spans="1:4" x14ac:dyDescent="0.2">
      <c r="A170" s="19"/>
      <c r="D170" s="19"/>
    </row>
    <row r="171" spans="1:4" x14ac:dyDescent="0.2">
      <c r="A171" s="19"/>
      <c r="D171" s="19"/>
    </row>
    <row r="172" spans="1:4" x14ac:dyDescent="0.2">
      <c r="A172" s="19"/>
      <c r="D172" s="19"/>
    </row>
    <row r="173" spans="1:4" x14ac:dyDescent="0.2">
      <c r="A173" s="19"/>
      <c r="D173" s="19"/>
    </row>
    <row r="174" spans="1:4" x14ac:dyDescent="0.2">
      <c r="A174" s="19"/>
      <c r="D174" s="19"/>
    </row>
    <row r="175" spans="1:4" x14ac:dyDescent="0.2">
      <c r="A175" s="19"/>
      <c r="D175" s="19"/>
    </row>
    <row r="176" spans="1:4" x14ac:dyDescent="0.2">
      <c r="A176" s="19"/>
      <c r="D176" s="19"/>
    </row>
    <row r="177" spans="1:4" x14ac:dyDescent="0.2">
      <c r="A177" s="19"/>
      <c r="D177" s="19"/>
    </row>
    <row r="178" spans="1:4" x14ac:dyDescent="0.2">
      <c r="A178" s="19"/>
      <c r="D178" s="19"/>
    </row>
    <row r="179" spans="1:4" x14ac:dyDescent="0.2">
      <c r="A179" s="19"/>
      <c r="D179" s="19"/>
    </row>
    <row r="180" spans="1:4" x14ac:dyDescent="0.2">
      <c r="A180" s="19"/>
      <c r="D180" s="19"/>
    </row>
    <row r="181" spans="1:4" x14ac:dyDescent="0.2">
      <c r="A181" s="19"/>
      <c r="D181" s="19"/>
    </row>
    <row r="182" spans="1:4" x14ac:dyDescent="0.2">
      <c r="A182" s="19"/>
      <c r="D182" s="19"/>
    </row>
    <row r="183" spans="1:4" x14ac:dyDescent="0.2">
      <c r="A183" s="19"/>
      <c r="D183" s="19"/>
    </row>
    <row r="184" spans="1:4" x14ac:dyDescent="0.2">
      <c r="A184" s="19"/>
      <c r="D184" s="19"/>
    </row>
    <row r="185" spans="1:4" x14ac:dyDescent="0.2">
      <c r="A185" s="19"/>
      <c r="D185" s="19"/>
    </row>
    <row r="186" spans="1:4" x14ac:dyDescent="0.2">
      <c r="A186" s="19"/>
      <c r="D186" s="19"/>
    </row>
    <row r="187" spans="1:4" x14ac:dyDescent="0.2">
      <c r="A187" s="19"/>
      <c r="D187" s="19"/>
    </row>
    <row r="188" spans="1:4" x14ac:dyDescent="0.2">
      <c r="A188" s="19"/>
      <c r="D188" s="19"/>
    </row>
    <row r="189" spans="1:4" x14ac:dyDescent="0.2">
      <c r="A189" s="19"/>
      <c r="D189" s="19"/>
    </row>
    <row r="190" spans="1:4" x14ac:dyDescent="0.2">
      <c r="A190" s="19"/>
      <c r="D190" s="19"/>
    </row>
    <row r="191" spans="1:4" x14ac:dyDescent="0.2">
      <c r="A191" s="19"/>
      <c r="D191" s="19"/>
    </row>
    <row r="192" spans="1:4" x14ac:dyDescent="0.2">
      <c r="A192" s="19"/>
      <c r="D192" s="19"/>
    </row>
    <row r="193" spans="1:4" x14ac:dyDescent="0.2">
      <c r="A193" s="19"/>
      <c r="D193" s="19"/>
    </row>
    <row r="194" spans="1:4" x14ac:dyDescent="0.2">
      <c r="A194" s="19"/>
      <c r="D194" s="19"/>
    </row>
    <row r="195" spans="1:4" x14ac:dyDescent="0.2">
      <c r="A195" s="19"/>
      <c r="D195" s="19"/>
    </row>
    <row r="196" spans="1:4" x14ac:dyDescent="0.2">
      <c r="A196" s="19"/>
      <c r="D196" s="19"/>
    </row>
    <row r="197" spans="1:4" x14ac:dyDescent="0.2">
      <c r="A197" s="19"/>
      <c r="D197" s="19"/>
    </row>
    <row r="198" spans="1:4" x14ac:dyDescent="0.2">
      <c r="A198" s="19"/>
      <c r="D198" s="19"/>
    </row>
    <row r="199" spans="1:4" x14ac:dyDescent="0.2">
      <c r="A199" s="19"/>
      <c r="D199" s="19"/>
    </row>
    <row r="200" spans="1:4" x14ac:dyDescent="0.2">
      <c r="A200" s="19"/>
      <c r="D200" s="19"/>
    </row>
    <row r="201" spans="1:4" x14ac:dyDescent="0.2">
      <c r="A201" s="19"/>
      <c r="D201" s="19"/>
    </row>
    <row r="202" spans="1:4" x14ac:dyDescent="0.2">
      <c r="A202" s="19"/>
      <c r="D202" s="19"/>
    </row>
    <row r="203" spans="1:4" x14ac:dyDescent="0.2">
      <c r="A203" s="19"/>
      <c r="D203" s="19"/>
    </row>
    <row r="204" spans="1:4" x14ac:dyDescent="0.2">
      <c r="A204" s="19"/>
      <c r="D204" s="19"/>
    </row>
    <row r="205" spans="1:4" x14ac:dyDescent="0.2">
      <c r="A205" s="19"/>
      <c r="D205" s="19"/>
    </row>
    <row r="206" spans="1:4" x14ac:dyDescent="0.2">
      <c r="A206" s="19"/>
      <c r="D206" s="19"/>
    </row>
    <row r="207" spans="1:4" x14ac:dyDescent="0.2">
      <c r="A207" s="19"/>
      <c r="D207" s="19"/>
    </row>
    <row r="208" spans="1:4" x14ac:dyDescent="0.2">
      <c r="A208" s="19"/>
      <c r="D208" s="19"/>
    </row>
    <row r="209" spans="1:4" x14ac:dyDescent="0.2">
      <c r="A209" s="19"/>
      <c r="D209" s="19"/>
    </row>
    <row r="210" spans="1:4" x14ac:dyDescent="0.2">
      <c r="A210" s="19"/>
      <c r="D210" s="19"/>
    </row>
    <row r="211" spans="1:4" x14ac:dyDescent="0.2">
      <c r="A211" s="19"/>
      <c r="D211" s="19"/>
    </row>
    <row r="212" spans="1:4" x14ac:dyDescent="0.2">
      <c r="A212" s="19"/>
      <c r="D212" s="19"/>
    </row>
    <row r="213" spans="1:4" x14ac:dyDescent="0.2">
      <c r="A213" s="19"/>
      <c r="D213" s="19"/>
    </row>
    <row r="214" spans="1:4" x14ac:dyDescent="0.2">
      <c r="A214" s="19"/>
      <c r="D214" s="19"/>
    </row>
    <row r="215" spans="1:4" x14ac:dyDescent="0.2">
      <c r="A215" s="19"/>
      <c r="D215" s="19"/>
    </row>
    <row r="216" spans="1:4" x14ac:dyDescent="0.2">
      <c r="A216" s="19"/>
      <c r="D216" s="19"/>
    </row>
    <row r="217" spans="1:4" x14ac:dyDescent="0.2">
      <c r="A217" s="19"/>
      <c r="D217" s="19"/>
    </row>
    <row r="218" spans="1:4" x14ac:dyDescent="0.2">
      <c r="A218" s="19"/>
      <c r="D218" s="19"/>
    </row>
    <row r="219" spans="1:4" x14ac:dyDescent="0.2">
      <c r="A219" s="19"/>
      <c r="D219" s="19"/>
    </row>
    <row r="220" spans="1:4" x14ac:dyDescent="0.2">
      <c r="A220" s="19"/>
      <c r="D220" s="19"/>
    </row>
    <row r="221" spans="1:4" x14ac:dyDescent="0.2">
      <c r="A221" s="19"/>
      <c r="D221" s="19"/>
    </row>
    <row r="222" spans="1:4" x14ac:dyDescent="0.2">
      <c r="A222" s="19"/>
      <c r="D222" s="19"/>
    </row>
    <row r="223" spans="1:4" x14ac:dyDescent="0.2">
      <c r="A223" s="19"/>
      <c r="D223" s="19"/>
    </row>
    <row r="224" spans="1:4" x14ac:dyDescent="0.2">
      <c r="A224" s="19"/>
      <c r="D224" s="19"/>
    </row>
    <row r="225" spans="1:4" x14ac:dyDescent="0.2">
      <c r="A225" s="19"/>
      <c r="D225" s="19"/>
    </row>
    <row r="226" spans="1:4" x14ac:dyDescent="0.2">
      <c r="A226" s="19"/>
      <c r="D226" s="19"/>
    </row>
    <row r="227" spans="1:4" x14ac:dyDescent="0.2">
      <c r="A227" s="19"/>
      <c r="D227" s="19"/>
    </row>
    <row r="228" spans="1:4" x14ac:dyDescent="0.2">
      <c r="A228" s="19"/>
      <c r="D228" s="19"/>
    </row>
    <row r="229" spans="1:4" x14ac:dyDescent="0.2">
      <c r="A229" s="19"/>
      <c r="D229" s="19"/>
    </row>
    <row r="230" spans="1:4" x14ac:dyDescent="0.2">
      <c r="A230" s="19"/>
      <c r="D230" s="19"/>
    </row>
    <row r="231" spans="1:4" x14ac:dyDescent="0.2">
      <c r="A231" s="19"/>
      <c r="D231" s="19"/>
    </row>
    <row r="232" spans="1:4" x14ac:dyDescent="0.2">
      <c r="A232" s="19"/>
      <c r="D232" s="19"/>
    </row>
    <row r="233" spans="1:4" x14ac:dyDescent="0.2">
      <c r="A233" s="19"/>
    </row>
    <row r="234" spans="1:4" x14ac:dyDescent="0.2">
      <c r="A234" s="19"/>
    </row>
    <row r="235" spans="1:4" x14ac:dyDescent="0.2">
      <c r="A235" s="19"/>
    </row>
    <row r="236" spans="1:4" x14ac:dyDescent="0.2">
      <c r="A236" s="19"/>
    </row>
    <row r="237" spans="1:4" x14ac:dyDescent="0.2">
      <c r="A237" s="19"/>
    </row>
    <row r="238" spans="1:4" x14ac:dyDescent="0.2">
      <c r="A238" s="19"/>
    </row>
    <row r="239" spans="1:4" x14ac:dyDescent="0.2">
      <c r="A239" s="19"/>
    </row>
    <row r="240" spans="1:4" x14ac:dyDescent="0.2">
      <c r="A240" s="19"/>
    </row>
    <row r="241" spans="1:1" x14ac:dyDescent="0.2">
      <c r="A241" s="19"/>
    </row>
    <row r="242" spans="1:1" x14ac:dyDescent="0.2">
      <c r="A242" s="19"/>
    </row>
    <row r="243" spans="1:1" x14ac:dyDescent="0.2">
      <c r="A243" s="19"/>
    </row>
    <row r="244" spans="1:1" x14ac:dyDescent="0.2">
      <c r="A244" s="19"/>
    </row>
    <row r="245" spans="1:1" x14ac:dyDescent="0.2">
      <c r="A245" s="19"/>
    </row>
    <row r="246" spans="1:1" x14ac:dyDescent="0.2">
      <c r="A246" s="19"/>
    </row>
    <row r="247" spans="1:1" x14ac:dyDescent="0.2">
      <c r="A247" s="19"/>
    </row>
    <row r="248" spans="1:1" x14ac:dyDescent="0.2">
      <c r="A248" s="19"/>
    </row>
    <row r="249" spans="1:1" x14ac:dyDescent="0.2">
      <c r="A249" s="19"/>
    </row>
  </sheetData>
  <sheetProtection formatCells="0" formatColumns="0" formatRows="0" insertColumns="0" insertRows="0"/>
  <sortState xmlns:xlrd2="http://schemas.microsoft.com/office/spreadsheetml/2017/richdata2" ref="A32:A147">
    <sortCondition ref="A32:A147"/>
  </sortState>
  <mergeCells count="4">
    <mergeCell ref="A30:C30"/>
    <mergeCell ref="M1:N1"/>
    <mergeCell ref="I1:J1"/>
    <mergeCell ref="E28:G28"/>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election activeCell="H25" sqref="H25"/>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T30"/>
  <sheetViews>
    <sheetView showGridLines="0" zoomScale="90" zoomScaleNormal="90" workbookViewId="0"/>
  </sheetViews>
  <sheetFormatPr baseColWidth="10" defaultColWidth="10.83203125" defaultRowHeight="16" x14ac:dyDescent="0.2"/>
  <cols>
    <col min="1" max="1" width="22.6640625" style="1" customWidth="1"/>
    <col min="2" max="2" width="18.6640625" style="1" customWidth="1"/>
    <col min="3" max="10" width="15.83203125" style="1" customWidth="1"/>
    <col min="11" max="14" width="10.83203125" style="1"/>
    <col min="15" max="15" width="2.6640625" style="1" customWidth="1"/>
    <col min="16" max="16384" width="10.83203125" style="1"/>
  </cols>
  <sheetData>
    <row r="1" spans="1:20" ht="72" customHeight="1" x14ac:dyDescent="0.2">
      <c r="I1" s="44" t="s">
        <v>134</v>
      </c>
      <c r="J1" s="31"/>
      <c r="O1" s="62"/>
      <c r="P1" s="63"/>
      <c r="Q1" s="61"/>
      <c r="R1" s="61"/>
      <c r="T1" s="21"/>
    </row>
    <row r="2" spans="1:20" ht="40" customHeight="1" x14ac:dyDescent="0.2">
      <c r="A2" s="13"/>
      <c r="B2" s="13"/>
      <c r="C2" s="13"/>
      <c r="D2" s="13"/>
      <c r="E2" s="13"/>
      <c r="F2" s="13"/>
      <c r="G2" s="13"/>
      <c r="H2" s="13"/>
      <c r="I2" s="13"/>
      <c r="J2" s="13"/>
      <c r="K2" s="14"/>
      <c r="L2" s="14"/>
      <c r="M2" s="14"/>
      <c r="N2" s="14"/>
      <c r="O2" s="14"/>
      <c r="P2" s="14"/>
      <c r="Q2" s="14"/>
      <c r="R2" s="14"/>
      <c r="S2" s="14"/>
      <c r="T2" s="14"/>
    </row>
    <row r="3" spans="1:20" ht="16" customHeight="1" x14ac:dyDescent="0.2">
      <c r="E3" s="14"/>
      <c r="F3" s="14"/>
      <c r="G3" s="14"/>
      <c r="H3" s="14"/>
      <c r="I3" s="14"/>
      <c r="J3" s="14"/>
      <c r="K3" s="14"/>
      <c r="L3" s="14"/>
      <c r="M3" s="14"/>
      <c r="N3" s="14"/>
      <c r="O3" s="14"/>
      <c r="P3" s="14"/>
      <c r="Q3" s="14"/>
      <c r="R3" s="14"/>
      <c r="S3" s="14"/>
      <c r="T3" s="14"/>
    </row>
    <row r="4" spans="1:20" ht="16" customHeight="1" x14ac:dyDescent="0.2">
      <c r="A4" s="68" t="s">
        <v>93</v>
      </c>
      <c r="B4" s="68"/>
      <c r="C4" s="68"/>
      <c r="D4" s="68"/>
      <c r="E4" s="68"/>
      <c r="F4" s="68"/>
      <c r="G4" s="68"/>
      <c r="H4" s="68"/>
      <c r="I4" s="68"/>
      <c r="J4" s="68"/>
      <c r="K4" s="32"/>
      <c r="L4" s="32"/>
      <c r="M4" s="32"/>
      <c r="N4" s="32"/>
      <c r="O4" s="32"/>
      <c r="P4" s="14"/>
      <c r="Q4" s="14"/>
      <c r="R4" s="14"/>
      <c r="S4" s="14"/>
      <c r="T4" s="14"/>
    </row>
    <row r="5" spans="1:20" ht="16" customHeight="1" x14ac:dyDescent="0.2">
      <c r="A5" s="68"/>
      <c r="B5" s="68"/>
      <c r="C5" s="68"/>
      <c r="D5" s="68"/>
      <c r="E5" s="68"/>
      <c r="F5" s="68"/>
      <c r="G5" s="68"/>
      <c r="H5" s="68"/>
      <c r="I5" s="68"/>
      <c r="J5" s="68"/>
      <c r="K5" s="32"/>
      <c r="L5" s="32"/>
      <c r="M5" s="32"/>
      <c r="N5" s="32"/>
      <c r="O5" s="32"/>
      <c r="P5" s="14"/>
      <c r="Q5" s="14"/>
      <c r="R5" s="14"/>
      <c r="S5" s="14"/>
      <c r="T5" s="14"/>
    </row>
    <row r="6" spans="1:20" ht="16" customHeight="1" x14ac:dyDescent="0.2">
      <c r="A6" s="32"/>
      <c r="B6" s="32"/>
      <c r="C6" s="32"/>
      <c r="D6" s="32"/>
      <c r="E6" s="32"/>
      <c r="F6" s="32"/>
      <c r="G6" s="32"/>
      <c r="H6" s="32"/>
      <c r="I6" s="32"/>
      <c r="J6" s="32"/>
      <c r="K6" s="32"/>
      <c r="L6" s="32"/>
      <c r="M6" s="32"/>
      <c r="N6" s="32"/>
      <c r="O6" s="32"/>
      <c r="P6" s="14"/>
      <c r="Q6" s="14"/>
      <c r="R6" s="14"/>
      <c r="S6" s="14"/>
      <c r="T6" s="14"/>
    </row>
    <row r="7" spans="1:20" ht="25" customHeight="1" thickBot="1" x14ac:dyDescent="0.25">
      <c r="A7" s="46"/>
      <c r="B7" s="46"/>
      <c r="C7" s="69" t="s">
        <v>416</v>
      </c>
      <c r="D7" s="69"/>
      <c r="E7" s="69"/>
      <c r="F7" s="70"/>
      <c r="G7" s="71" t="s">
        <v>417</v>
      </c>
      <c r="H7" s="70"/>
      <c r="I7" s="69" t="s">
        <v>418</v>
      </c>
      <c r="J7" s="69"/>
      <c r="K7" s="32"/>
      <c r="L7" s="32"/>
      <c r="M7" s="32"/>
      <c r="N7" s="32"/>
      <c r="O7" s="32"/>
      <c r="P7" s="14"/>
      <c r="Q7" s="14"/>
      <c r="R7" s="14"/>
      <c r="S7" s="14"/>
      <c r="T7" s="14"/>
    </row>
    <row r="8" spans="1:20" ht="84" customHeight="1" thickTop="1" thickBot="1" x14ac:dyDescent="0.25">
      <c r="A8" s="97" t="s">
        <v>94</v>
      </c>
      <c r="B8" s="97"/>
      <c r="C8" s="92" t="s">
        <v>285</v>
      </c>
      <c r="D8" s="92" t="s">
        <v>286</v>
      </c>
      <c r="E8" s="92" t="s">
        <v>287</v>
      </c>
      <c r="F8" s="92" t="s">
        <v>288</v>
      </c>
      <c r="G8" s="92" t="s">
        <v>289</v>
      </c>
      <c r="H8" s="92" t="s">
        <v>290</v>
      </c>
      <c r="I8" s="92" t="s">
        <v>291</v>
      </c>
      <c r="J8" s="92" t="s">
        <v>292</v>
      </c>
    </row>
    <row r="9" spans="1:20" s="18" customFormat="1" ht="24" customHeight="1" thickTop="1" x14ac:dyDescent="0.2">
      <c r="A9" s="98"/>
      <c r="B9" s="99"/>
      <c r="C9" s="39"/>
      <c r="D9" s="40"/>
      <c r="E9" s="39"/>
      <c r="F9" s="40"/>
      <c r="G9" s="39"/>
      <c r="H9" s="40"/>
      <c r="I9" s="39"/>
      <c r="J9" s="40"/>
      <c r="L9" s="47"/>
    </row>
    <row r="10" spans="1:20" s="18" customFormat="1" ht="24" customHeight="1" x14ac:dyDescent="0.2">
      <c r="A10" s="89"/>
      <c r="B10" s="90"/>
      <c r="C10" s="41"/>
      <c r="D10" s="42"/>
      <c r="E10" s="41"/>
      <c r="F10" s="42"/>
      <c r="G10" s="41"/>
      <c r="H10" s="42"/>
      <c r="I10" s="41"/>
      <c r="J10" s="42"/>
    </row>
    <row r="11" spans="1:20" s="18" customFormat="1" ht="24" customHeight="1" x14ac:dyDescent="0.2">
      <c r="A11" s="89"/>
      <c r="B11" s="90"/>
      <c r="C11" s="41"/>
      <c r="D11" s="42"/>
      <c r="E11" s="41"/>
      <c r="F11" s="42"/>
      <c r="G11" s="41"/>
      <c r="H11" s="42"/>
      <c r="I11" s="41"/>
      <c r="J11" s="42"/>
    </row>
    <row r="12" spans="1:20" s="18" customFormat="1" ht="24" customHeight="1" x14ac:dyDescent="0.2">
      <c r="A12" s="89"/>
      <c r="B12" s="90"/>
      <c r="C12" s="41"/>
      <c r="D12" s="42"/>
      <c r="E12" s="41"/>
      <c r="F12" s="42"/>
      <c r="G12" s="41"/>
      <c r="H12" s="42"/>
      <c r="I12" s="41"/>
      <c r="J12" s="42"/>
    </row>
    <row r="13" spans="1:20" s="18" customFormat="1" ht="24" customHeight="1" x14ac:dyDescent="0.2">
      <c r="A13" s="89"/>
      <c r="B13" s="90"/>
      <c r="C13" s="41"/>
      <c r="D13" s="42"/>
      <c r="E13" s="41"/>
      <c r="F13" s="42"/>
      <c r="G13" s="41"/>
      <c r="H13" s="42"/>
      <c r="I13" s="41"/>
      <c r="J13" s="42"/>
    </row>
    <row r="14" spans="1:20" s="18" customFormat="1" ht="24" customHeight="1" x14ac:dyDescent="0.2">
      <c r="A14" s="89"/>
      <c r="B14" s="90"/>
      <c r="C14" s="41"/>
      <c r="D14" s="42"/>
      <c r="E14" s="41"/>
      <c r="F14" s="42"/>
      <c r="G14" s="41"/>
      <c r="H14" s="42"/>
      <c r="I14" s="41"/>
      <c r="J14" s="42"/>
    </row>
    <row r="17" spans="1:10" s="18" customFormat="1" ht="24" customHeight="1" thickBot="1" x14ac:dyDescent="0.25">
      <c r="A17" s="91" t="s">
        <v>502</v>
      </c>
      <c r="B17" s="91"/>
      <c r="C17" s="91"/>
      <c r="D17" s="91"/>
      <c r="E17" s="91"/>
      <c r="F17" s="91"/>
      <c r="G17" s="91"/>
      <c r="H17" s="100"/>
      <c r="I17" s="100"/>
      <c r="J17" s="100"/>
    </row>
    <row r="18" spans="1:10" s="18" customFormat="1" ht="84" customHeight="1" thickTop="1" thickBot="1" x14ac:dyDescent="0.25">
      <c r="A18" s="95" t="s">
        <v>503</v>
      </c>
      <c r="B18" s="92" t="s">
        <v>285</v>
      </c>
      <c r="C18" s="92" t="s">
        <v>285</v>
      </c>
      <c r="D18" s="92" t="s">
        <v>286</v>
      </c>
      <c r="E18" s="92" t="s">
        <v>287</v>
      </c>
      <c r="F18" s="92" t="s">
        <v>288</v>
      </c>
      <c r="G18" s="92" t="s">
        <v>289</v>
      </c>
      <c r="H18" s="92" t="s">
        <v>290</v>
      </c>
      <c r="I18" s="92" t="s">
        <v>291</v>
      </c>
      <c r="J18" s="92" t="s">
        <v>292</v>
      </c>
    </row>
    <row r="19" spans="1:10" s="18" customFormat="1" ht="24" customHeight="1" thickTop="1" x14ac:dyDescent="0.2">
      <c r="A19" s="94"/>
      <c r="B19" s="96" t="s">
        <v>505</v>
      </c>
      <c r="C19" s="39"/>
      <c r="D19" s="39"/>
      <c r="E19" s="39"/>
      <c r="F19" s="39"/>
      <c r="G19" s="39"/>
      <c r="H19" s="39"/>
      <c r="I19" s="39"/>
      <c r="J19" s="39"/>
    </row>
    <row r="20" spans="1:10" s="18" customFormat="1" ht="24" customHeight="1" x14ac:dyDescent="0.2">
      <c r="A20" s="88"/>
      <c r="B20" s="96" t="s">
        <v>506</v>
      </c>
      <c r="C20" s="39"/>
      <c r="D20" s="39"/>
      <c r="E20" s="39"/>
      <c r="F20" s="39"/>
      <c r="G20" s="39"/>
      <c r="H20" s="39"/>
      <c r="I20" s="39"/>
      <c r="J20" s="39"/>
    </row>
    <row r="21" spans="1:10" s="18" customFormat="1" ht="24" customHeight="1" x14ac:dyDescent="0.2">
      <c r="A21" s="93"/>
      <c r="B21" s="96" t="s">
        <v>505</v>
      </c>
      <c r="C21" s="39"/>
      <c r="D21" s="39"/>
      <c r="E21" s="39"/>
      <c r="F21" s="39"/>
      <c r="G21" s="39"/>
      <c r="H21" s="39"/>
      <c r="I21" s="39"/>
      <c r="J21" s="39"/>
    </row>
    <row r="22" spans="1:10" s="18" customFormat="1" ht="24" customHeight="1" x14ac:dyDescent="0.2">
      <c r="A22" s="88"/>
      <c r="B22" s="96" t="s">
        <v>506</v>
      </c>
      <c r="C22" s="39"/>
      <c r="D22" s="39"/>
      <c r="E22" s="39"/>
      <c r="F22" s="39"/>
      <c r="G22" s="39"/>
      <c r="H22" s="39"/>
      <c r="I22" s="39"/>
      <c r="J22" s="39"/>
    </row>
    <row r="23" spans="1:10" s="18" customFormat="1" ht="24" customHeight="1" x14ac:dyDescent="0.2">
      <c r="A23" s="93"/>
      <c r="B23" s="96" t="s">
        <v>505</v>
      </c>
      <c r="C23" s="39"/>
      <c r="D23" s="39"/>
      <c r="E23" s="39"/>
      <c r="F23" s="39"/>
      <c r="G23" s="39"/>
      <c r="H23" s="39"/>
      <c r="I23" s="39"/>
      <c r="J23" s="39"/>
    </row>
    <row r="24" spans="1:10" s="18" customFormat="1" ht="24" customHeight="1" x14ac:dyDescent="0.2">
      <c r="A24" s="88"/>
      <c r="B24" s="96" t="s">
        <v>506</v>
      </c>
      <c r="C24" s="39"/>
      <c r="D24" s="39"/>
      <c r="E24" s="39"/>
      <c r="F24" s="39"/>
      <c r="G24" s="39"/>
      <c r="H24" s="39"/>
      <c r="I24" s="39"/>
      <c r="J24" s="39"/>
    </row>
    <row r="25" spans="1:10" s="18" customFormat="1" ht="24" customHeight="1" x14ac:dyDescent="0.2">
      <c r="A25" s="93"/>
      <c r="B25" s="96" t="s">
        <v>505</v>
      </c>
      <c r="C25" s="39"/>
      <c r="D25" s="39"/>
      <c r="E25" s="39"/>
      <c r="F25" s="39"/>
      <c r="G25" s="39"/>
      <c r="H25" s="39"/>
      <c r="I25" s="39"/>
      <c r="J25" s="39"/>
    </row>
    <row r="26" spans="1:10" s="18" customFormat="1" ht="24" customHeight="1" x14ac:dyDescent="0.2">
      <c r="A26" s="88"/>
      <c r="B26" s="96" t="s">
        <v>506</v>
      </c>
      <c r="C26" s="39"/>
      <c r="D26" s="39"/>
      <c r="E26" s="39"/>
      <c r="F26" s="39"/>
      <c r="G26" s="39"/>
      <c r="H26" s="39"/>
      <c r="I26" s="39"/>
      <c r="J26" s="39"/>
    </row>
    <row r="27" spans="1:10" s="18" customFormat="1" ht="24" customHeight="1" x14ac:dyDescent="0.2">
      <c r="A27" s="93"/>
      <c r="B27" s="96" t="s">
        <v>505</v>
      </c>
      <c r="C27" s="39"/>
      <c r="D27" s="39"/>
      <c r="E27" s="39"/>
      <c r="F27" s="39"/>
      <c r="G27" s="39"/>
      <c r="H27" s="39"/>
      <c r="I27" s="39"/>
      <c r="J27" s="39"/>
    </row>
    <row r="28" spans="1:10" s="18" customFormat="1" ht="24" customHeight="1" x14ac:dyDescent="0.2">
      <c r="A28" s="88"/>
      <c r="B28" s="96" t="s">
        <v>506</v>
      </c>
      <c r="C28" s="39"/>
      <c r="D28" s="39"/>
      <c r="E28" s="39"/>
      <c r="F28" s="39"/>
      <c r="G28" s="39"/>
      <c r="H28" s="39"/>
      <c r="I28" s="39"/>
      <c r="J28" s="39"/>
    </row>
    <row r="29" spans="1:10" s="18" customFormat="1" ht="24" customHeight="1" x14ac:dyDescent="0.2">
      <c r="A29" s="93"/>
      <c r="B29" s="96" t="s">
        <v>505</v>
      </c>
      <c r="C29" s="39"/>
      <c r="D29" s="39"/>
      <c r="E29" s="39"/>
      <c r="F29" s="39"/>
      <c r="G29" s="39"/>
      <c r="H29" s="39"/>
      <c r="I29" s="39"/>
      <c r="J29" s="39"/>
    </row>
    <row r="30" spans="1:10" s="18" customFormat="1" ht="24" customHeight="1" x14ac:dyDescent="0.2">
      <c r="A30" s="88"/>
      <c r="B30" s="96" t="s">
        <v>506</v>
      </c>
      <c r="C30" s="39"/>
      <c r="D30" s="39"/>
      <c r="E30" s="39"/>
      <c r="F30" s="39"/>
      <c r="G30" s="39"/>
      <c r="H30" s="39"/>
      <c r="I30" s="39"/>
      <c r="J30" s="39"/>
    </row>
  </sheetData>
  <sheetProtection formatCells="0" formatColumns="0" formatRows="0" insertColumns="0" insertRows="0"/>
  <mergeCells count="20">
    <mergeCell ref="A27:A28"/>
    <mergeCell ref="A29:A30"/>
    <mergeCell ref="A8:B8"/>
    <mergeCell ref="A14:B14"/>
    <mergeCell ref="A13:B13"/>
    <mergeCell ref="A12:B12"/>
    <mergeCell ref="A11:B11"/>
    <mergeCell ref="A10:B10"/>
    <mergeCell ref="A9:B9"/>
    <mergeCell ref="A19:A20"/>
    <mergeCell ref="A21:A22"/>
    <mergeCell ref="A23:A24"/>
    <mergeCell ref="A25:A26"/>
    <mergeCell ref="A17:G17"/>
    <mergeCell ref="O1:P1"/>
    <mergeCell ref="Q1:R1"/>
    <mergeCell ref="A4:J5"/>
    <mergeCell ref="C7:F7"/>
    <mergeCell ref="G7:H7"/>
    <mergeCell ref="I7:J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election activeCell="F15" sqref="F15"/>
    </sheetView>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2"/>
      <c r="E1" s="32"/>
      <c r="F1" s="44"/>
      <c r="G1" s="44" t="s">
        <v>134</v>
      </c>
      <c r="H1" s="31"/>
      <c r="I1" s="31"/>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72" t="s">
        <v>422</v>
      </c>
      <c r="C4" s="72"/>
      <c r="D4" s="72"/>
      <c r="E4" s="72"/>
      <c r="F4" s="72"/>
      <c r="G4" s="72"/>
      <c r="H4" s="72"/>
    </row>
    <row r="5" spans="1:14" ht="118" customHeight="1" x14ac:dyDescent="0.2">
      <c r="A5" s="15" t="s">
        <v>132</v>
      </c>
      <c r="B5" s="73" t="s">
        <v>421</v>
      </c>
      <c r="C5" s="73"/>
      <c r="D5" s="73"/>
      <c r="E5" s="73"/>
      <c r="F5" s="73"/>
      <c r="G5" s="73"/>
      <c r="H5" s="73"/>
    </row>
    <row r="6" spans="1:14" s="7" customFormat="1" ht="25" customHeight="1" thickBot="1" x14ac:dyDescent="0.25">
      <c r="A6" s="58" t="s">
        <v>420</v>
      </c>
      <c r="B6" s="58" t="s">
        <v>419</v>
      </c>
      <c r="C6" s="58" t="s">
        <v>448</v>
      </c>
      <c r="D6" s="58" t="s">
        <v>449</v>
      </c>
      <c r="E6" s="58" t="s">
        <v>143</v>
      </c>
      <c r="F6" s="58" t="s">
        <v>141</v>
      </c>
      <c r="G6" s="58" t="s">
        <v>142</v>
      </c>
      <c r="H6" s="58" t="s">
        <v>70</v>
      </c>
    </row>
    <row r="7" spans="1:14" s="7" customFormat="1" ht="20" customHeight="1" thickTop="1" x14ac:dyDescent="0.2">
      <c r="A7" s="50"/>
      <c r="B7" s="54"/>
      <c r="C7" s="101"/>
      <c r="D7" s="101"/>
      <c r="E7" s="101"/>
      <c r="F7" s="101"/>
      <c r="G7" s="101"/>
      <c r="H7" s="51"/>
      <c r="K7" s="43"/>
      <c r="L7" s="43"/>
      <c r="M7" s="43"/>
      <c r="N7" s="43"/>
    </row>
    <row r="8" spans="1:14" s="7" customFormat="1" ht="20" customHeight="1" x14ac:dyDescent="0.2">
      <c r="A8" s="48"/>
      <c r="B8" s="55"/>
      <c r="C8" s="102"/>
      <c r="D8" s="102"/>
      <c r="E8" s="102"/>
      <c r="F8" s="102"/>
      <c r="G8" s="102"/>
      <c r="H8" s="49"/>
      <c r="K8" s="43"/>
      <c r="L8" s="43"/>
      <c r="M8" s="43"/>
      <c r="N8" s="43"/>
    </row>
    <row r="9" spans="1:14" s="7" customFormat="1" ht="20" customHeight="1" x14ac:dyDescent="0.2">
      <c r="A9" s="52"/>
      <c r="B9" s="56"/>
      <c r="C9" s="103"/>
      <c r="D9" s="103"/>
      <c r="E9" s="103"/>
      <c r="F9" s="103"/>
      <c r="G9" s="103"/>
      <c r="H9" s="53"/>
      <c r="K9" s="43"/>
      <c r="L9" s="43"/>
      <c r="M9" s="43"/>
      <c r="N9" s="43"/>
    </row>
    <row r="10" spans="1:14" s="7" customFormat="1" ht="20" customHeight="1" x14ac:dyDescent="0.2">
      <c r="A10" s="48"/>
      <c r="B10" s="55"/>
      <c r="C10" s="102"/>
      <c r="D10" s="102"/>
      <c r="E10" s="102"/>
      <c r="F10" s="102"/>
      <c r="G10" s="102"/>
      <c r="H10" s="49"/>
      <c r="K10" s="43"/>
      <c r="L10" s="43"/>
      <c r="M10" s="43"/>
      <c r="N10" s="43"/>
    </row>
    <row r="11" spans="1:14" s="7" customFormat="1" ht="20" customHeight="1" x14ac:dyDescent="0.2">
      <c r="A11" s="52"/>
      <c r="B11" s="56"/>
      <c r="C11" s="103"/>
      <c r="D11" s="103"/>
      <c r="E11" s="103"/>
      <c r="F11" s="103"/>
      <c r="G11" s="103"/>
      <c r="H11" s="53"/>
      <c r="K11" s="43"/>
      <c r="L11" s="43"/>
      <c r="M11" s="43"/>
      <c r="N11" s="43"/>
    </row>
    <row r="12" spans="1:14" s="7" customFormat="1" ht="20" customHeight="1" x14ac:dyDescent="0.2">
      <c r="A12" s="48"/>
      <c r="B12" s="55"/>
      <c r="C12" s="102"/>
      <c r="D12" s="102"/>
      <c r="E12" s="102"/>
      <c r="F12" s="102"/>
      <c r="G12" s="102"/>
      <c r="H12" s="49"/>
      <c r="K12" s="43"/>
      <c r="L12" s="43"/>
      <c r="M12" s="43"/>
      <c r="N12" s="43"/>
    </row>
    <row r="13" spans="1:14" s="7" customFormat="1" ht="20" customHeight="1" x14ac:dyDescent="0.2">
      <c r="A13" s="52"/>
      <c r="B13" s="56"/>
      <c r="C13" s="103"/>
      <c r="D13" s="103"/>
      <c r="E13" s="103"/>
      <c r="F13" s="103"/>
      <c r="G13" s="103"/>
      <c r="H13" s="53"/>
      <c r="K13" s="43"/>
      <c r="L13" s="43"/>
      <c r="M13" s="43"/>
      <c r="N13" s="43"/>
    </row>
    <row r="14" spans="1:14" s="7" customFormat="1" ht="20" customHeight="1" x14ac:dyDescent="0.2">
      <c r="A14" s="48"/>
      <c r="B14" s="55"/>
      <c r="C14" s="102"/>
      <c r="D14" s="102"/>
      <c r="E14" s="102"/>
      <c r="F14" s="102"/>
      <c r="G14" s="102"/>
      <c r="H14" s="49"/>
      <c r="K14" s="43"/>
      <c r="L14" s="43"/>
      <c r="M14" s="43"/>
      <c r="N14" s="43"/>
    </row>
    <row r="15" spans="1:14" s="7" customFormat="1" ht="20" customHeight="1" x14ac:dyDescent="0.2">
      <c r="A15" s="52"/>
      <c r="B15" s="56"/>
      <c r="C15" s="103"/>
      <c r="D15" s="103"/>
      <c r="E15" s="103"/>
      <c r="F15" s="103"/>
      <c r="G15" s="103"/>
      <c r="H15" s="53"/>
      <c r="K15" s="43"/>
      <c r="L15" s="43"/>
      <c r="M15" s="43"/>
      <c r="N15" s="43"/>
    </row>
    <row r="16" spans="1:14" s="7" customFormat="1" ht="20" customHeight="1" x14ac:dyDescent="0.2">
      <c r="A16" s="48"/>
      <c r="B16" s="55"/>
      <c r="C16" s="102"/>
      <c r="D16" s="102"/>
      <c r="E16" s="102"/>
      <c r="F16" s="102"/>
      <c r="G16" s="102"/>
      <c r="H16" s="49"/>
      <c r="K16" s="43"/>
      <c r="L16" s="43"/>
      <c r="M16" s="43"/>
      <c r="N16" s="43"/>
    </row>
    <row r="17" spans="1:14" s="7" customFormat="1" ht="20" customHeight="1" x14ac:dyDescent="0.2">
      <c r="A17" s="52"/>
      <c r="B17" s="56"/>
      <c r="C17" s="103"/>
      <c r="D17" s="103"/>
      <c r="E17" s="103"/>
      <c r="F17" s="103"/>
      <c r="G17" s="103"/>
      <c r="H17" s="53"/>
      <c r="K17" s="43"/>
      <c r="L17" s="43"/>
      <c r="M17" s="43"/>
      <c r="N17" s="43"/>
    </row>
    <row r="18" spans="1:14" s="7" customFormat="1" ht="20" customHeight="1" x14ac:dyDescent="0.2">
      <c r="A18" s="48"/>
      <c r="B18" s="55"/>
      <c r="C18" s="102"/>
      <c r="D18" s="102"/>
      <c r="E18" s="102"/>
      <c r="F18" s="102"/>
      <c r="G18" s="102"/>
      <c r="H18" s="49"/>
      <c r="K18" s="43"/>
      <c r="L18" s="43"/>
      <c r="M18" s="43"/>
      <c r="N18" s="43"/>
    </row>
    <row r="19" spans="1:14" s="7" customFormat="1" ht="20" customHeight="1" x14ac:dyDescent="0.2">
      <c r="A19" s="52"/>
      <c r="B19" s="56"/>
      <c r="C19" s="103"/>
      <c r="D19" s="103"/>
      <c r="E19" s="103"/>
      <c r="F19" s="103"/>
      <c r="G19" s="103"/>
      <c r="H19" s="53"/>
      <c r="K19" s="43"/>
      <c r="L19" s="43"/>
      <c r="M19" s="43"/>
      <c r="N19" s="43"/>
    </row>
    <row r="20" spans="1:14" s="7" customFormat="1" ht="20" customHeight="1" x14ac:dyDescent="0.2">
      <c r="A20" s="48"/>
      <c r="B20" s="55"/>
      <c r="C20" s="102"/>
      <c r="D20" s="102"/>
      <c r="E20" s="102"/>
      <c r="F20" s="102"/>
      <c r="G20" s="102"/>
      <c r="H20" s="49"/>
      <c r="K20" s="43"/>
      <c r="L20" s="43"/>
      <c r="M20" s="43"/>
      <c r="N20" s="43"/>
    </row>
    <row r="21" spans="1:14" s="7" customFormat="1" ht="20" customHeight="1" x14ac:dyDescent="0.2">
      <c r="A21" s="52"/>
      <c r="B21" s="56"/>
      <c r="C21" s="103"/>
      <c r="D21" s="103"/>
      <c r="E21" s="103"/>
      <c r="F21" s="103"/>
      <c r="G21" s="103"/>
      <c r="H21" s="53"/>
      <c r="K21" s="43"/>
      <c r="L21" s="43"/>
      <c r="M21" s="43"/>
      <c r="N21" s="43"/>
    </row>
    <row r="22" spans="1:14" s="7" customFormat="1" ht="20" customHeight="1" x14ac:dyDescent="0.2">
      <c r="A22" s="48"/>
      <c r="B22" s="55"/>
      <c r="C22" s="102"/>
      <c r="D22" s="102"/>
      <c r="E22" s="102"/>
      <c r="F22" s="102"/>
      <c r="G22" s="102"/>
      <c r="H22" s="49"/>
      <c r="K22" s="43"/>
      <c r="L22" s="43"/>
      <c r="M22" s="43"/>
      <c r="N22" s="43"/>
    </row>
    <row r="23" spans="1:14" s="7" customFormat="1" ht="20" customHeight="1" x14ac:dyDescent="0.2">
      <c r="A23" s="52"/>
      <c r="B23" s="56"/>
      <c r="C23" s="103"/>
      <c r="D23" s="103"/>
      <c r="E23" s="103"/>
      <c r="F23" s="103"/>
      <c r="G23" s="103"/>
      <c r="H23" s="53"/>
      <c r="K23" s="43"/>
      <c r="L23" s="43"/>
      <c r="M23" s="43"/>
      <c r="N23" s="43"/>
    </row>
    <row r="24" spans="1:14" s="7" customFormat="1" ht="20" customHeight="1" x14ac:dyDescent="0.2">
      <c r="A24" s="48"/>
      <c r="B24" s="55"/>
      <c r="C24" s="102"/>
      <c r="D24" s="102"/>
      <c r="E24" s="102"/>
      <c r="F24" s="102"/>
      <c r="G24" s="102"/>
      <c r="H24" s="49"/>
      <c r="K24" s="43"/>
      <c r="L24" s="43"/>
      <c r="M24" s="43"/>
      <c r="N24" s="43"/>
    </row>
    <row r="25" spans="1:14" s="7" customFormat="1" ht="20" customHeight="1" x14ac:dyDescent="0.2">
      <c r="A25" s="52"/>
      <c r="B25" s="56"/>
      <c r="C25" s="103"/>
      <c r="D25" s="103"/>
      <c r="E25" s="103"/>
      <c r="F25" s="103"/>
      <c r="G25" s="103"/>
      <c r="H25" s="53"/>
      <c r="K25" s="43"/>
      <c r="L25" s="43"/>
      <c r="M25" s="43"/>
      <c r="N25" s="43"/>
    </row>
    <row r="26" spans="1:14" s="7" customFormat="1" ht="20" customHeight="1" x14ac:dyDescent="0.2">
      <c r="A26" s="48"/>
      <c r="B26" s="55"/>
      <c r="C26" s="102"/>
      <c r="D26" s="102"/>
      <c r="E26" s="102"/>
      <c r="F26" s="102"/>
      <c r="G26" s="102"/>
      <c r="H26" s="49"/>
      <c r="K26" s="43"/>
      <c r="L26" s="43"/>
      <c r="M26" s="43"/>
      <c r="N26" s="43"/>
    </row>
    <row r="27" spans="1:14" s="7" customFormat="1" ht="20" customHeight="1" x14ac:dyDescent="0.2">
      <c r="A27" s="52"/>
      <c r="B27" s="56"/>
      <c r="C27" s="103"/>
      <c r="D27" s="103"/>
      <c r="E27" s="103"/>
      <c r="F27" s="103"/>
      <c r="G27" s="103"/>
      <c r="H27" s="53"/>
      <c r="K27" s="43"/>
      <c r="L27" s="43"/>
      <c r="M27" s="43"/>
      <c r="N27" s="43"/>
    </row>
    <row r="28" spans="1:14" s="7" customFormat="1" ht="20" customHeight="1" x14ac:dyDescent="0.2">
      <c r="A28" s="48"/>
      <c r="B28" s="55"/>
      <c r="C28" s="102"/>
      <c r="D28" s="102"/>
      <c r="E28" s="102"/>
      <c r="F28" s="102"/>
      <c r="G28" s="102"/>
      <c r="H28" s="49"/>
      <c r="K28" s="43"/>
      <c r="L28" s="43"/>
      <c r="M28" s="43"/>
      <c r="N28" s="43"/>
    </row>
    <row r="29" spans="1:14" s="7" customFormat="1" ht="20" customHeight="1" x14ac:dyDescent="0.2">
      <c r="A29" s="52"/>
      <c r="B29" s="56"/>
      <c r="C29" s="103"/>
      <c r="D29" s="103"/>
      <c r="E29" s="103"/>
      <c r="F29" s="103"/>
      <c r="G29" s="103"/>
      <c r="H29" s="53"/>
      <c r="K29" s="43"/>
      <c r="L29" s="43"/>
      <c r="M29" s="43"/>
      <c r="N29" s="43"/>
    </row>
    <row r="30" spans="1:14" s="7" customFormat="1" ht="20" customHeight="1" x14ac:dyDescent="0.2">
      <c r="A30" s="48"/>
      <c r="B30" s="55"/>
      <c r="C30" s="102"/>
      <c r="D30" s="102"/>
      <c r="E30" s="102"/>
      <c r="F30" s="102"/>
      <c r="G30" s="102"/>
      <c r="H30" s="49"/>
      <c r="K30" s="43"/>
      <c r="L30" s="43"/>
      <c r="M30" s="43"/>
      <c r="N30" s="43"/>
    </row>
    <row r="31" spans="1:14" s="7" customFormat="1" ht="20" customHeight="1" x14ac:dyDescent="0.2">
      <c r="A31" s="52"/>
      <c r="B31" s="56"/>
      <c r="C31" s="103"/>
      <c r="D31" s="103"/>
      <c r="E31" s="103"/>
      <c r="F31" s="103"/>
      <c r="G31" s="103"/>
      <c r="H31" s="53"/>
      <c r="K31" s="43"/>
      <c r="L31" s="43"/>
      <c r="M31" s="43"/>
      <c r="N31" s="43"/>
    </row>
    <row r="32" spans="1:14" s="7" customFormat="1" ht="20" customHeight="1" x14ac:dyDescent="0.2">
      <c r="A32" s="48"/>
      <c r="B32" s="55"/>
      <c r="C32" s="102"/>
      <c r="D32" s="102"/>
      <c r="E32" s="102"/>
      <c r="F32" s="102"/>
      <c r="G32" s="102"/>
      <c r="H32" s="49"/>
      <c r="K32" s="43"/>
      <c r="L32" s="43"/>
      <c r="M32" s="43"/>
      <c r="N32" s="43"/>
    </row>
    <row r="33" spans="1:14" s="7" customFormat="1" ht="20" customHeight="1" x14ac:dyDescent="0.2">
      <c r="A33" s="52"/>
      <c r="B33" s="56"/>
      <c r="C33" s="103"/>
      <c r="D33" s="103"/>
      <c r="E33" s="103"/>
      <c r="F33" s="103"/>
      <c r="G33" s="103"/>
      <c r="H33" s="53"/>
      <c r="K33" s="43"/>
      <c r="L33" s="43"/>
      <c r="M33" s="43"/>
      <c r="N33" s="43"/>
    </row>
    <row r="34" spans="1:14" s="7" customFormat="1" ht="20" customHeight="1" x14ac:dyDescent="0.2">
      <c r="A34" s="48"/>
      <c r="B34" s="55"/>
      <c r="C34" s="102"/>
      <c r="D34" s="102"/>
      <c r="E34" s="102"/>
      <c r="F34" s="102"/>
      <c r="G34" s="102"/>
      <c r="H34" s="49"/>
      <c r="K34" s="43"/>
      <c r="L34" s="43"/>
      <c r="M34" s="43"/>
      <c r="N34" s="43"/>
    </row>
    <row r="35" spans="1:14" s="7" customFormat="1" ht="20" customHeight="1" x14ac:dyDescent="0.2">
      <c r="A35" s="52"/>
      <c r="B35" s="56"/>
      <c r="C35" s="103"/>
      <c r="D35" s="103"/>
      <c r="E35" s="103"/>
      <c r="F35" s="103"/>
      <c r="G35" s="103"/>
      <c r="H35" s="53"/>
      <c r="K35" s="43"/>
      <c r="L35" s="43"/>
      <c r="M35" s="43"/>
      <c r="N35" s="43"/>
    </row>
    <row r="36" spans="1:14" s="7" customFormat="1" ht="20" customHeight="1" x14ac:dyDescent="0.2">
      <c r="A36" s="48"/>
      <c r="B36" s="55"/>
      <c r="C36" s="102"/>
      <c r="D36" s="102"/>
      <c r="E36" s="102"/>
      <c r="F36" s="102"/>
      <c r="G36" s="102"/>
      <c r="H36" s="49"/>
      <c r="K36" s="43"/>
      <c r="L36" s="43"/>
      <c r="M36" s="43"/>
      <c r="N36" s="43"/>
    </row>
    <row r="37" spans="1:14" s="7" customFormat="1" ht="20" customHeight="1" x14ac:dyDescent="0.2">
      <c r="A37" s="52"/>
      <c r="B37" s="56"/>
      <c r="C37" s="103"/>
      <c r="D37" s="103"/>
      <c r="E37" s="103"/>
      <c r="F37" s="103"/>
      <c r="G37" s="103"/>
      <c r="H37" s="53"/>
      <c r="K37" s="43"/>
      <c r="L37" s="43"/>
      <c r="M37" s="43"/>
      <c r="N37" s="43"/>
    </row>
    <row r="38" spans="1:14" s="7" customFormat="1" ht="20" customHeight="1" x14ac:dyDescent="0.2">
      <c r="A38" s="48"/>
      <c r="B38" s="55"/>
      <c r="C38" s="102"/>
      <c r="D38" s="102"/>
      <c r="E38" s="102"/>
      <c r="F38" s="102"/>
      <c r="G38" s="102"/>
      <c r="H38" s="49"/>
      <c r="K38" s="43"/>
      <c r="L38" s="43"/>
      <c r="M38" s="43"/>
      <c r="N38" s="43"/>
    </row>
    <row r="39" spans="1:14" s="7" customFormat="1" ht="20" customHeight="1" x14ac:dyDescent="0.2">
      <c r="A39" s="52"/>
      <c r="B39" s="56"/>
      <c r="C39" s="103"/>
      <c r="D39" s="103"/>
      <c r="E39" s="103"/>
      <c r="F39" s="103"/>
      <c r="G39" s="103"/>
      <c r="H39" s="53"/>
      <c r="K39" s="43"/>
      <c r="L39" s="43"/>
      <c r="M39" s="43"/>
      <c r="N39" s="43"/>
    </row>
    <row r="40" spans="1:14" s="7" customFormat="1" ht="20" customHeight="1" x14ac:dyDescent="0.2">
      <c r="A40" s="48"/>
      <c r="B40" s="55"/>
      <c r="C40" s="102"/>
      <c r="D40" s="102"/>
      <c r="E40" s="102"/>
      <c r="F40" s="102"/>
      <c r="G40" s="102"/>
      <c r="H40" s="49"/>
      <c r="K40" s="43"/>
      <c r="L40" s="43"/>
      <c r="M40" s="43"/>
      <c r="N40" s="43"/>
    </row>
    <row r="41" spans="1:14" s="7" customFormat="1" ht="20" customHeight="1" x14ac:dyDescent="0.2">
      <c r="A41" s="52"/>
      <c r="B41" s="56"/>
      <c r="C41" s="103"/>
      <c r="D41" s="103"/>
      <c r="E41" s="103"/>
      <c r="F41" s="103"/>
      <c r="G41" s="103"/>
      <c r="H41" s="53"/>
      <c r="K41" s="43"/>
      <c r="L41" s="43"/>
      <c r="M41" s="43"/>
      <c r="N41" s="43"/>
    </row>
    <row r="42" spans="1:14" s="7" customFormat="1" ht="20" customHeight="1" x14ac:dyDescent="0.2">
      <c r="A42" s="48"/>
      <c r="B42" s="55"/>
      <c r="C42" s="102"/>
      <c r="D42" s="102"/>
      <c r="E42" s="102"/>
      <c r="F42" s="102"/>
      <c r="G42" s="102"/>
      <c r="H42" s="49"/>
      <c r="K42" s="43"/>
      <c r="L42" s="43"/>
      <c r="M42" s="43"/>
      <c r="N42" s="43"/>
    </row>
    <row r="43" spans="1:14" s="7" customFormat="1" ht="20" customHeight="1" x14ac:dyDescent="0.2">
      <c r="A43" s="52"/>
      <c r="B43" s="56"/>
      <c r="C43" s="103"/>
      <c r="D43" s="103"/>
      <c r="E43" s="103"/>
      <c r="F43" s="103"/>
      <c r="G43" s="103"/>
      <c r="H43" s="53"/>
      <c r="K43" s="43"/>
      <c r="L43" s="43"/>
      <c r="M43" s="43"/>
      <c r="N43" s="43"/>
    </row>
    <row r="44" spans="1:14" s="7" customFormat="1" ht="20" customHeight="1" x14ac:dyDescent="0.2">
      <c r="A44" s="48"/>
      <c r="B44" s="55"/>
      <c r="C44" s="102"/>
      <c r="D44" s="102"/>
      <c r="E44" s="102"/>
      <c r="F44" s="102"/>
      <c r="G44" s="102"/>
      <c r="H44" s="49"/>
      <c r="K44" s="43"/>
      <c r="L44" s="43"/>
      <c r="M44" s="43"/>
      <c r="N44" s="43"/>
    </row>
    <row r="45" spans="1:14" s="7" customFormat="1" ht="20" customHeight="1" x14ac:dyDescent="0.2">
      <c r="A45" s="52"/>
      <c r="B45" s="56"/>
      <c r="C45" s="103"/>
      <c r="D45" s="103"/>
      <c r="E45" s="103"/>
      <c r="F45" s="103"/>
      <c r="G45" s="103"/>
      <c r="H45" s="53"/>
      <c r="K45" s="43"/>
      <c r="L45" s="43"/>
      <c r="M45" s="43"/>
      <c r="N45" s="43"/>
    </row>
    <row r="46" spans="1:14" s="7" customFormat="1" ht="20" customHeight="1" x14ac:dyDescent="0.2">
      <c r="A46" s="48"/>
      <c r="B46" s="55"/>
      <c r="C46" s="102"/>
      <c r="D46" s="102"/>
      <c r="E46" s="102"/>
      <c r="F46" s="102"/>
      <c r="G46" s="102"/>
      <c r="H46" s="49"/>
      <c r="K46" s="43"/>
      <c r="L46" s="43"/>
      <c r="M46" s="43"/>
      <c r="N46" s="43"/>
    </row>
    <row r="47" spans="1:14" s="7" customFormat="1" ht="20" customHeight="1" x14ac:dyDescent="0.2">
      <c r="A47" s="52"/>
      <c r="B47" s="56"/>
      <c r="C47" s="103"/>
      <c r="D47" s="103"/>
      <c r="E47" s="103"/>
      <c r="F47" s="103"/>
      <c r="G47" s="103"/>
      <c r="H47" s="53"/>
      <c r="K47" s="43"/>
      <c r="L47" s="43"/>
      <c r="M47" s="43"/>
      <c r="N47" s="43"/>
    </row>
    <row r="48" spans="1:14" s="7" customFormat="1" ht="20" customHeight="1" x14ac:dyDescent="0.2">
      <c r="A48" s="48"/>
      <c r="B48" s="55"/>
      <c r="C48" s="102"/>
      <c r="D48" s="102"/>
      <c r="E48" s="102"/>
      <c r="F48" s="102"/>
      <c r="G48" s="102"/>
      <c r="H48" s="49"/>
      <c r="K48" s="43"/>
      <c r="L48" s="43"/>
      <c r="M48" s="43"/>
      <c r="N48" s="43"/>
    </row>
    <row r="49" spans="1:14" s="7" customFormat="1" ht="20" customHeight="1" x14ac:dyDescent="0.2">
      <c r="A49" s="52"/>
      <c r="B49" s="56"/>
      <c r="C49" s="103"/>
      <c r="D49" s="103"/>
      <c r="E49" s="103"/>
      <c r="F49" s="103"/>
      <c r="G49" s="103"/>
      <c r="H49" s="53"/>
      <c r="K49" s="43"/>
      <c r="L49" s="43"/>
      <c r="M49" s="43"/>
      <c r="N49" s="43"/>
    </row>
    <row r="50" spans="1:14" s="7" customFormat="1" ht="20" customHeight="1" x14ac:dyDescent="0.2">
      <c r="A50" s="48"/>
      <c r="B50" s="55"/>
      <c r="C50" s="102"/>
      <c r="D50" s="102"/>
      <c r="E50" s="102"/>
      <c r="F50" s="102"/>
      <c r="G50" s="102"/>
      <c r="H50" s="49"/>
      <c r="K50" s="43"/>
      <c r="L50" s="43"/>
      <c r="M50" s="43"/>
      <c r="N50" s="43"/>
    </row>
    <row r="51" spans="1:14" s="7" customFormat="1" ht="20" customHeight="1" x14ac:dyDescent="0.2">
      <c r="A51" s="52"/>
      <c r="B51" s="56"/>
      <c r="C51" s="103"/>
      <c r="D51" s="103"/>
      <c r="E51" s="103"/>
      <c r="F51" s="103"/>
      <c r="G51" s="103"/>
      <c r="H51" s="53"/>
      <c r="K51" s="43"/>
      <c r="L51" s="43"/>
      <c r="M51" s="43"/>
      <c r="N51" s="43"/>
    </row>
    <row r="52" spans="1:14" s="7" customFormat="1" ht="20" customHeight="1" x14ac:dyDescent="0.2">
      <c r="A52" s="48"/>
      <c r="B52" s="55"/>
      <c r="C52" s="102"/>
      <c r="D52" s="102"/>
      <c r="E52" s="102"/>
      <c r="F52" s="102"/>
      <c r="G52" s="102"/>
      <c r="H52" s="49"/>
      <c r="K52" s="43"/>
      <c r="L52" s="43"/>
      <c r="M52" s="43"/>
      <c r="N52" s="43"/>
    </row>
    <row r="53" spans="1:14" s="7" customFormat="1" ht="20" customHeight="1" x14ac:dyDescent="0.2">
      <c r="A53" s="52"/>
      <c r="B53" s="56"/>
      <c r="C53" s="103"/>
      <c r="D53" s="103"/>
      <c r="E53" s="103"/>
      <c r="F53" s="103"/>
      <c r="G53" s="103"/>
      <c r="H53" s="53"/>
      <c r="K53" s="43"/>
      <c r="L53" s="43"/>
      <c r="M53" s="43"/>
      <c r="N53" s="43"/>
    </row>
    <row r="54" spans="1:14" s="7" customFormat="1" ht="20" customHeight="1" x14ac:dyDescent="0.2">
      <c r="A54" s="48"/>
      <c r="B54" s="55"/>
      <c r="C54" s="102"/>
      <c r="D54" s="102"/>
      <c r="E54" s="102"/>
      <c r="F54" s="102"/>
      <c r="G54" s="102"/>
      <c r="H54" s="49"/>
      <c r="K54" s="43"/>
      <c r="L54" s="43"/>
      <c r="M54" s="43"/>
      <c r="N54" s="43"/>
    </row>
    <row r="55" spans="1:14" s="7" customFormat="1" ht="20" customHeight="1" x14ac:dyDescent="0.2">
      <c r="A55" s="52"/>
      <c r="B55" s="56"/>
      <c r="C55" s="103"/>
      <c r="D55" s="103"/>
      <c r="E55" s="103"/>
      <c r="F55" s="103"/>
      <c r="G55" s="103"/>
      <c r="H55" s="53"/>
      <c r="K55" s="43"/>
      <c r="L55" s="43"/>
      <c r="M55" s="43"/>
      <c r="N55" s="43"/>
    </row>
    <row r="56" spans="1:14" s="7" customFormat="1" ht="20" customHeight="1" x14ac:dyDescent="0.2">
      <c r="A56" s="48"/>
      <c r="B56" s="55"/>
      <c r="C56" s="102"/>
      <c r="D56" s="102"/>
      <c r="E56" s="102"/>
      <c r="F56" s="102"/>
      <c r="G56" s="102"/>
      <c r="H56" s="49"/>
      <c r="K56" s="43"/>
      <c r="L56" s="43"/>
      <c r="M56" s="43"/>
      <c r="N56" s="43"/>
    </row>
    <row r="57" spans="1:14" s="7" customFormat="1" ht="20" customHeight="1" x14ac:dyDescent="0.2">
      <c r="A57" s="52"/>
      <c r="B57" s="56"/>
      <c r="C57" s="103"/>
      <c r="D57" s="103"/>
      <c r="E57" s="103"/>
      <c r="F57" s="103"/>
      <c r="G57" s="103"/>
      <c r="H57" s="53"/>
      <c r="K57" s="43"/>
      <c r="L57" s="43"/>
      <c r="M57" s="43"/>
      <c r="N57" s="43"/>
    </row>
    <row r="58" spans="1:14" s="7" customFormat="1" ht="20" customHeight="1" x14ac:dyDescent="0.2">
      <c r="A58" s="48"/>
      <c r="B58" s="55"/>
      <c r="C58" s="102"/>
      <c r="D58" s="102"/>
      <c r="E58" s="102"/>
      <c r="F58" s="102"/>
      <c r="G58" s="102"/>
      <c r="H58" s="49"/>
      <c r="K58" s="43"/>
      <c r="L58" s="43"/>
      <c r="M58" s="43"/>
      <c r="N58" s="43"/>
    </row>
    <row r="59" spans="1:14" s="7" customFormat="1" ht="20" customHeight="1" x14ac:dyDescent="0.2">
      <c r="A59" s="52"/>
      <c r="B59" s="56"/>
      <c r="C59" s="103"/>
      <c r="D59" s="103"/>
      <c r="E59" s="103"/>
      <c r="F59" s="103"/>
      <c r="G59" s="103"/>
      <c r="H59" s="53"/>
      <c r="K59" s="43"/>
      <c r="L59" s="43"/>
      <c r="M59" s="43"/>
      <c r="N59" s="43"/>
    </row>
    <row r="60" spans="1:14" s="7" customFormat="1" ht="20" customHeight="1" x14ac:dyDescent="0.2">
      <c r="A60" s="48"/>
      <c r="B60" s="55"/>
      <c r="C60" s="102"/>
      <c r="D60" s="102"/>
      <c r="E60" s="102"/>
      <c r="F60" s="102"/>
      <c r="G60" s="102"/>
      <c r="H60" s="49"/>
      <c r="K60" s="43"/>
      <c r="L60" s="43"/>
      <c r="M60" s="43"/>
      <c r="N60" s="43"/>
    </row>
    <row r="61" spans="1:14" s="7" customFormat="1" ht="20" customHeight="1" x14ac:dyDescent="0.2">
      <c r="A61" s="52"/>
      <c r="B61" s="56"/>
      <c r="C61" s="103"/>
      <c r="D61" s="103"/>
      <c r="E61" s="103"/>
      <c r="F61" s="103"/>
      <c r="G61" s="103"/>
      <c r="H61" s="53"/>
      <c r="K61" s="43"/>
      <c r="L61" s="43"/>
      <c r="M61" s="43"/>
      <c r="N61" s="43"/>
    </row>
    <row r="62" spans="1:14" s="7" customFormat="1" ht="20" customHeight="1" x14ac:dyDescent="0.2">
      <c r="A62" s="48"/>
      <c r="B62" s="55"/>
      <c r="C62" s="102"/>
      <c r="D62" s="102"/>
      <c r="E62" s="102"/>
      <c r="F62" s="102"/>
      <c r="G62" s="102"/>
      <c r="H62" s="49"/>
      <c r="K62" s="43"/>
      <c r="L62" s="43"/>
      <c r="M62" s="43"/>
      <c r="N62" s="43"/>
    </row>
    <row r="63" spans="1:14" s="7" customFormat="1" ht="20" customHeight="1" x14ac:dyDescent="0.2">
      <c r="A63" s="52"/>
      <c r="B63" s="56"/>
      <c r="C63" s="103"/>
      <c r="D63" s="103"/>
      <c r="E63" s="103"/>
      <c r="F63" s="103"/>
      <c r="G63" s="103"/>
      <c r="H63" s="53"/>
      <c r="K63" s="43"/>
      <c r="L63" s="43"/>
      <c r="M63" s="43"/>
      <c r="N63" s="43"/>
    </row>
    <row r="64" spans="1:14" s="7" customFormat="1" ht="20" customHeight="1" x14ac:dyDescent="0.2">
      <c r="A64" s="48"/>
      <c r="B64" s="55"/>
      <c r="C64" s="102"/>
      <c r="D64" s="102"/>
      <c r="E64" s="102"/>
      <c r="F64" s="102"/>
      <c r="G64" s="102"/>
      <c r="H64" s="49"/>
      <c r="K64" s="43"/>
      <c r="L64" s="43"/>
      <c r="M64" s="43"/>
      <c r="N64" s="43"/>
    </row>
    <row r="65" spans="1:14" s="7" customFormat="1" ht="20" customHeight="1" x14ac:dyDescent="0.2">
      <c r="A65" s="52"/>
      <c r="B65" s="56"/>
      <c r="C65" s="103"/>
      <c r="D65" s="103"/>
      <c r="E65" s="103"/>
      <c r="F65" s="103"/>
      <c r="G65" s="103"/>
      <c r="H65" s="53"/>
      <c r="K65" s="43"/>
      <c r="L65" s="43"/>
      <c r="M65" s="43"/>
      <c r="N65" s="43"/>
    </row>
    <row r="66" spans="1:14" s="7" customFormat="1" ht="20" customHeight="1" x14ac:dyDescent="0.2">
      <c r="A66" s="48"/>
      <c r="B66" s="55"/>
      <c r="C66" s="102"/>
      <c r="D66" s="102"/>
      <c r="E66" s="102"/>
      <c r="F66" s="102"/>
      <c r="G66" s="102"/>
      <c r="H66" s="49"/>
      <c r="K66" s="43"/>
      <c r="L66" s="43"/>
      <c r="M66" s="43"/>
      <c r="N66" s="43"/>
    </row>
    <row r="67" spans="1:14" s="7" customFormat="1" ht="20" customHeight="1" x14ac:dyDescent="0.2">
      <c r="A67" s="52"/>
      <c r="B67" s="56"/>
      <c r="C67" s="103"/>
      <c r="D67" s="103"/>
      <c r="E67" s="103"/>
      <c r="F67" s="103"/>
      <c r="G67" s="103"/>
      <c r="H67" s="53"/>
      <c r="K67" s="43"/>
      <c r="L67" s="43"/>
      <c r="M67" s="43"/>
      <c r="N67" s="43"/>
    </row>
    <row r="68" spans="1:14" s="7" customFormat="1" ht="20" customHeight="1" x14ac:dyDescent="0.2">
      <c r="A68" s="48"/>
      <c r="B68" s="55"/>
      <c r="C68" s="102"/>
      <c r="D68" s="102"/>
      <c r="E68" s="102"/>
      <c r="F68" s="102"/>
      <c r="G68" s="102"/>
      <c r="H68" s="49"/>
      <c r="K68" s="43"/>
      <c r="L68" s="43"/>
      <c r="M68" s="43"/>
      <c r="N68" s="43"/>
    </row>
    <row r="69" spans="1:14" s="7" customFormat="1" ht="20" customHeight="1" x14ac:dyDescent="0.2">
      <c r="A69" s="52"/>
      <c r="B69" s="56"/>
      <c r="C69" s="103"/>
      <c r="D69" s="103"/>
      <c r="E69" s="103"/>
      <c r="F69" s="103"/>
      <c r="G69" s="103"/>
      <c r="H69" s="53"/>
      <c r="K69" s="43"/>
      <c r="L69" s="43"/>
      <c r="M69" s="43"/>
      <c r="N69" s="43"/>
    </row>
    <row r="70" spans="1:14" s="7" customFormat="1" ht="20" customHeight="1" x14ac:dyDescent="0.2">
      <c r="A70" s="48"/>
      <c r="B70" s="55"/>
      <c r="C70" s="102"/>
      <c r="D70" s="102"/>
      <c r="E70" s="102"/>
      <c r="F70" s="102"/>
      <c r="G70" s="102"/>
      <c r="H70" s="49"/>
      <c r="K70" s="43"/>
      <c r="L70" s="43"/>
      <c r="M70" s="43"/>
      <c r="N70" s="43"/>
    </row>
    <row r="71" spans="1:14" s="7" customFormat="1" ht="20" customHeight="1" x14ac:dyDescent="0.2">
      <c r="A71" s="52"/>
      <c r="B71" s="56"/>
      <c r="C71" s="103"/>
      <c r="D71" s="103"/>
      <c r="E71" s="103"/>
      <c r="F71" s="103"/>
      <c r="G71" s="103"/>
      <c r="H71" s="53"/>
      <c r="K71" s="43"/>
      <c r="L71" s="43"/>
      <c r="M71" s="43"/>
      <c r="N71" s="43"/>
    </row>
    <row r="72" spans="1:14" s="7" customFormat="1" ht="20" customHeight="1" x14ac:dyDescent="0.2">
      <c r="A72" s="48"/>
      <c r="B72" s="55"/>
      <c r="C72" s="102"/>
      <c r="D72" s="102"/>
      <c r="E72" s="102"/>
      <c r="F72" s="102"/>
      <c r="G72" s="102"/>
      <c r="H72" s="49"/>
      <c r="K72" s="43"/>
      <c r="L72" s="43"/>
      <c r="M72" s="43"/>
      <c r="N72" s="43"/>
    </row>
    <row r="73" spans="1:14" s="7" customFormat="1" ht="20" customHeight="1" x14ac:dyDescent="0.2">
      <c r="A73" s="52"/>
      <c r="B73" s="56"/>
      <c r="C73" s="103"/>
      <c r="D73" s="103"/>
      <c r="E73" s="103"/>
      <c r="F73" s="103"/>
      <c r="G73" s="103"/>
      <c r="H73" s="53"/>
      <c r="K73" s="43"/>
      <c r="L73" s="43"/>
      <c r="M73" s="43"/>
      <c r="N73" s="43"/>
    </row>
    <row r="74" spans="1:14" s="7" customFormat="1" ht="20" customHeight="1" x14ac:dyDescent="0.2">
      <c r="A74" s="48"/>
      <c r="B74" s="55"/>
      <c r="C74" s="102"/>
      <c r="D74" s="102"/>
      <c r="E74" s="102"/>
      <c r="F74" s="102"/>
      <c r="G74" s="102"/>
      <c r="H74" s="49"/>
      <c r="K74" s="43"/>
      <c r="L74" s="43"/>
      <c r="M74" s="43"/>
      <c r="N74" s="43"/>
    </row>
    <row r="75" spans="1:14" s="7" customFormat="1" ht="20" customHeight="1" x14ac:dyDescent="0.2">
      <c r="A75" s="52"/>
      <c r="B75" s="56"/>
      <c r="C75" s="103"/>
      <c r="D75" s="103"/>
      <c r="E75" s="103"/>
      <c r="F75" s="103"/>
      <c r="G75" s="103"/>
      <c r="H75" s="53"/>
      <c r="K75" s="43"/>
      <c r="L75" s="43"/>
      <c r="M75" s="43"/>
      <c r="N75" s="43"/>
    </row>
    <row r="76" spans="1:14" s="7" customFormat="1" ht="20" customHeight="1" x14ac:dyDescent="0.2">
      <c r="A76" s="48"/>
      <c r="B76" s="55"/>
      <c r="C76" s="102"/>
      <c r="D76" s="102"/>
      <c r="E76" s="102"/>
      <c r="F76" s="102"/>
      <c r="G76" s="102"/>
      <c r="H76" s="49"/>
      <c r="K76" s="43"/>
      <c r="L76" s="43"/>
      <c r="M76" s="43"/>
      <c r="N76" s="43"/>
    </row>
    <row r="77" spans="1:14" s="7" customFormat="1" ht="20" customHeight="1" x14ac:dyDescent="0.2">
      <c r="A77" s="52"/>
      <c r="B77" s="56"/>
      <c r="C77" s="103"/>
      <c r="D77" s="103"/>
      <c r="E77" s="103"/>
      <c r="F77" s="103"/>
      <c r="G77" s="103"/>
      <c r="H77" s="53"/>
      <c r="K77" s="43"/>
      <c r="L77" s="43"/>
      <c r="M77" s="43"/>
      <c r="N77" s="43"/>
    </row>
    <row r="78" spans="1:14" s="7" customFormat="1" ht="20" customHeight="1" x14ac:dyDescent="0.2">
      <c r="A78" s="48"/>
      <c r="B78" s="55"/>
      <c r="C78" s="102"/>
      <c r="D78" s="102"/>
      <c r="E78" s="102"/>
      <c r="F78" s="102"/>
      <c r="G78" s="102"/>
      <c r="H78" s="49"/>
      <c r="K78" s="43"/>
      <c r="L78" s="43"/>
      <c r="M78" s="43"/>
      <c r="N78" s="43"/>
    </row>
    <row r="79" spans="1:14" s="7" customFormat="1" ht="20" customHeight="1" x14ac:dyDescent="0.2">
      <c r="A79" s="52"/>
      <c r="B79" s="56"/>
      <c r="C79" s="103"/>
      <c r="D79" s="103"/>
      <c r="E79" s="103"/>
      <c r="F79" s="103"/>
      <c r="G79" s="103"/>
      <c r="H79" s="53"/>
      <c r="K79" s="43"/>
      <c r="L79" s="43"/>
      <c r="M79" s="43"/>
      <c r="N79" s="43"/>
    </row>
    <row r="80" spans="1:14" s="7" customFormat="1" ht="20" customHeight="1" x14ac:dyDescent="0.2">
      <c r="A80" s="48"/>
      <c r="B80" s="55"/>
      <c r="C80" s="102"/>
      <c r="D80" s="102"/>
      <c r="E80" s="102"/>
      <c r="F80" s="102"/>
      <c r="G80" s="102"/>
      <c r="H80" s="49"/>
      <c r="K80" s="43"/>
      <c r="L80" s="43"/>
      <c r="M80" s="43"/>
      <c r="N80" s="43"/>
    </row>
    <row r="81" spans="1:14" s="7" customFormat="1" ht="20" customHeight="1" x14ac:dyDescent="0.2">
      <c r="A81" s="52"/>
      <c r="B81" s="56"/>
      <c r="C81" s="103"/>
      <c r="D81" s="103"/>
      <c r="E81" s="103"/>
      <c r="F81" s="103"/>
      <c r="G81" s="103"/>
      <c r="H81" s="53"/>
      <c r="K81" s="43"/>
      <c r="L81" s="43"/>
      <c r="M81" s="43"/>
      <c r="N81" s="43"/>
    </row>
    <row r="82" spans="1:14" s="7" customFormat="1" ht="20" customHeight="1" x14ac:dyDescent="0.2">
      <c r="A82" s="48"/>
      <c r="B82" s="55"/>
      <c r="C82" s="102"/>
      <c r="D82" s="102"/>
      <c r="E82" s="102"/>
      <c r="F82" s="102"/>
      <c r="G82" s="102"/>
      <c r="H82" s="49"/>
      <c r="K82" s="43"/>
      <c r="L82" s="43"/>
      <c r="M82" s="43"/>
      <c r="N82" s="43"/>
    </row>
    <row r="83" spans="1:14" s="7" customFormat="1" ht="20" customHeight="1" x14ac:dyDescent="0.2">
      <c r="A83" s="52"/>
      <c r="B83" s="56"/>
      <c r="C83" s="103"/>
      <c r="D83" s="103"/>
      <c r="E83" s="103"/>
      <c r="F83" s="103"/>
      <c r="G83" s="103"/>
      <c r="H83" s="53"/>
      <c r="K83" s="43"/>
      <c r="L83" s="43"/>
      <c r="M83" s="43"/>
      <c r="N83" s="43"/>
    </row>
    <row r="84" spans="1:14" s="7" customFormat="1" ht="20" customHeight="1" x14ac:dyDescent="0.2">
      <c r="A84" s="48"/>
      <c r="B84" s="55"/>
      <c r="C84" s="102"/>
      <c r="D84" s="102"/>
      <c r="E84" s="102"/>
      <c r="F84" s="102"/>
      <c r="G84" s="102"/>
      <c r="H84" s="49"/>
      <c r="K84" s="43"/>
      <c r="L84" s="43"/>
      <c r="M84" s="43"/>
      <c r="N84" s="43"/>
    </row>
    <row r="85" spans="1:14" s="7" customFormat="1" ht="20" customHeight="1" x14ac:dyDescent="0.2">
      <c r="A85" s="52"/>
      <c r="B85" s="56"/>
      <c r="C85" s="103"/>
      <c r="D85" s="103"/>
      <c r="E85" s="103"/>
      <c r="F85" s="103"/>
      <c r="G85" s="103"/>
      <c r="H85" s="53"/>
      <c r="K85" s="43"/>
      <c r="L85" s="43"/>
      <c r="M85" s="43"/>
      <c r="N85" s="43"/>
    </row>
    <row r="86" spans="1:14" s="7" customFormat="1" ht="20" customHeight="1" x14ac:dyDescent="0.2">
      <c r="A86" s="48"/>
      <c r="B86" s="55"/>
      <c r="C86" s="102"/>
      <c r="D86" s="102"/>
      <c r="E86" s="102"/>
      <c r="F86" s="102"/>
      <c r="G86" s="102"/>
      <c r="H86" s="49"/>
      <c r="K86" s="43"/>
      <c r="L86" s="43"/>
      <c r="M86" s="43"/>
      <c r="N86" s="43"/>
    </row>
    <row r="87" spans="1:14" s="7" customFormat="1" ht="20" customHeight="1" x14ac:dyDescent="0.2">
      <c r="A87" s="52"/>
      <c r="B87" s="56"/>
      <c r="C87" s="103"/>
      <c r="D87" s="103"/>
      <c r="E87" s="103"/>
      <c r="F87" s="103"/>
      <c r="G87" s="103"/>
      <c r="H87" s="53"/>
      <c r="K87" s="43"/>
      <c r="L87" s="43"/>
      <c r="M87" s="43"/>
      <c r="N87" s="43"/>
    </row>
    <row r="88" spans="1:14" s="7" customFormat="1" ht="20" customHeight="1" x14ac:dyDescent="0.2">
      <c r="A88" s="48"/>
      <c r="B88" s="55"/>
      <c r="C88" s="102"/>
      <c r="D88" s="102"/>
      <c r="E88" s="102"/>
      <c r="F88" s="102"/>
      <c r="G88" s="102"/>
      <c r="H88" s="49"/>
      <c r="K88" s="43"/>
      <c r="L88" s="43"/>
      <c r="M88" s="43"/>
      <c r="N88" s="43"/>
    </row>
    <row r="89" spans="1:14" s="7" customFormat="1" ht="20" customHeight="1" x14ac:dyDescent="0.2">
      <c r="A89" s="52"/>
      <c r="B89" s="56"/>
      <c r="C89" s="103"/>
      <c r="D89" s="103"/>
      <c r="E89" s="103"/>
      <c r="F89" s="103"/>
      <c r="G89" s="103"/>
      <c r="H89" s="53"/>
      <c r="K89" s="43"/>
      <c r="L89" s="43"/>
      <c r="M89" s="43"/>
      <c r="N89" s="43"/>
    </row>
    <row r="90" spans="1:14" s="7" customFormat="1" ht="20" customHeight="1" x14ac:dyDescent="0.2">
      <c r="A90" s="48"/>
      <c r="B90" s="55"/>
      <c r="C90" s="102"/>
      <c r="D90" s="102"/>
      <c r="E90" s="102"/>
      <c r="F90" s="102"/>
      <c r="G90" s="102"/>
      <c r="H90" s="49"/>
      <c r="K90" s="43"/>
      <c r="L90" s="43"/>
      <c r="M90" s="43"/>
      <c r="N90" s="43"/>
    </row>
    <row r="91" spans="1:14" s="7" customFormat="1" ht="20" customHeight="1" x14ac:dyDescent="0.2">
      <c r="A91" s="52"/>
      <c r="B91" s="56"/>
      <c r="C91" s="103"/>
      <c r="D91" s="103"/>
      <c r="E91" s="103"/>
      <c r="F91" s="103"/>
      <c r="G91" s="103"/>
      <c r="H91" s="53"/>
      <c r="K91" s="43"/>
      <c r="L91" s="43"/>
      <c r="M91" s="43"/>
      <c r="N91" s="43"/>
    </row>
    <row r="92" spans="1:14" s="7" customFormat="1" ht="20" customHeight="1" x14ac:dyDescent="0.2">
      <c r="A92" s="48"/>
      <c r="B92" s="55"/>
      <c r="C92" s="102"/>
      <c r="D92" s="102"/>
      <c r="E92" s="102"/>
      <c r="F92" s="102"/>
      <c r="G92" s="102"/>
      <c r="H92" s="49"/>
      <c r="K92" s="43"/>
      <c r="L92" s="43"/>
      <c r="M92" s="43"/>
      <c r="N92" s="43"/>
    </row>
    <row r="93" spans="1:14" s="7" customFormat="1" ht="20" customHeight="1" x14ac:dyDescent="0.2">
      <c r="A93" s="52"/>
      <c r="B93" s="56"/>
      <c r="C93" s="103"/>
      <c r="D93" s="103"/>
      <c r="E93" s="103"/>
      <c r="F93" s="103"/>
      <c r="G93" s="103"/>
      <c r="H93" s="53"/>
      <c r="K93" s="43"/>
      <c r="L93" s="43"/>
      <c r="M93" s="43"/>
      <c r="N93" s="43"/>
    </row>
    <row r="94" spans="1:14" ht="20" customHeight="1" x14ac:dyDescent="0.2">
      <c r="A94" s="48"/>
      <c r="B94" s="55"/>
      <c r="C94" s="102"/>
      <c r="D94" s="102"/>
      <c r="E94" s="102"/>
      <c r="F94" s="102"/>
      <c r="G94" s="102"/>
      <c r="H94" s="49"/>
      <c r="K94" s="43"/>
      <c r="L94" s="43"/>
      <c r="M94" s="43"/>
      <c r="N94" s="43"/>
    </row>
    <row r="95" spans="1:14" ht="20" customHeight="1" x14ac:dyDescent="0.2">
      <c r="A95" s="52"/>
      <c r="B95" s="56"/>
      <c r="C95" s="103"/>
      <c r="D95" s="103"/>
      <c r="E95" s="103"/>
      <c r="F95" s="103"/>
      <c r="G95" s="103"/>
      <c r="H95" s="53"/>
      <c r="K95" s="43"/>
      <c r="L95" s="43"/>
      <c r="M95" s="43"/>
      <c r="N95" s="43"/>
    </row>
    <row r="96" spans="1:14" ht="20" customHeight="1" x14ac:dyDescent="0.2">
      <c r="A96" s="48"/>
      <c r="B96" s="55"/>
      <c r="C96" s="102"/>
      <c r="D96" s="102"/>
      <c r="E96" s="102"/>
      <c r="F96" s="102"/>
      <c r="G96" s="102"/>
      <c r="H96" s="49"/>
      <c r="K96" s="43"/>
      <c r="L96" s="43"/>
      <c r="M96" s="43"/>
      <c r="N96" s="43"/>
    </row>
    <row r="97" spans="1:14" ht="20" customHeight="1" x14ac:dyDescent="0.2">
      <c r="A97" s="52"/>
      <c r="B97" s="56"/>
      <c r="C97" s="103"/>
      <c r="D97" s="103"/>
      <c r="E97" s="103"/>
      <c r="F97" s="103"/>
      <c r="G97" s="103"/>
      <c r="H97" s="53"/>
      <c r="K97" s="43"/>
      <c r="L97" s="43"/>
      <c r="M97" s="43"/>
      <c r="N97" s="43"/>
    </row>
    <row r="98" spans="1:14" ht="20" customHeight="1" x14ac:dyDescent="0.2">
      <c r="A98" s="48"/>
      <c r="B98" s="55"/>
      <c r="C98" s="102"/>
      <c r="D98" s="102"/>
      <c r="E98" s="102"/>
      <c r="F98" s="102"/>
      <c r="G98" s="102"/>
      <c r="H98" s="49"/>
      <c r="K98" s="43"/>
      <c r="L98" s="43"/>
      <c r="M98" s="43"/>
      <c r="N98" s="43"/>
    </row>
    <row r="99" spans="1:14" ht="20" customHeight="1" x14ac:dyDescent="0.2">
      <c r="A99" s="52"/>
      <c r="B99" s="56"/>
      <c r="C99" s="103"/>
      <c r="D99" s="103"/>
      <c r="E99" s="103"/>
      <c r="F99" s="103"/>
      <c r="G99" s="103"/>
      <c r="H99" s="53"/>
      <c r="K99" s="43"/>
      <c r="L99" s="43"/>
      <c r="M99" s="43"/>
      <c r="N99" s="43"/>
    </row>
    <row r="100" spans="1:14" ht="20" customHeight="1" x14ac:dyDescent="0.2">
      <c r="A100" s="48"/>
      <c r="B100" s="55"/>
      <c r="C100" s="102"/>
      <c r="D100" s="102"/>
      <c r="E100" s="102"/>
      <c r="F100" s="102"/>
      <c r="G100" s="102"/>
      <c r="H100" s="49"/>
      <c r="K100" s="43"/>
      <c r="L100" s="43"/>
      <c r="M100" s="43"/>
      <c r="N100" s="43"/>
    </row>
    <row r="101" spans="1:14" ht="20" customHeight="1" x14ac:dyDescent="0.2">
      <c r="A101" s="52"/>
      <c r="B101" s="56"/>
      <c r="C101" s="103"/>
      <c r="D101" s="103"/>
      <c r="E101" s="103"/>
      <c r="F101" s="103"/>
      <c r="G101" s="103"/>
      <c r="H101" s="53"/>
      <c r="K101" s="43"/>
      <c r="L101" s="43"/>
      <c r="M101" s="43"/>
      <c r="N101" s="43"/>
    </row>
    <row r="102" spans="1:14" ht="20" customHeight="1" x14ac:dyDescent="0.2">
      <c r="A102" s="48"/>
      <c r="B102" s="55"/>
      <c r="C102" s="102"/>
      <c r="D102" s="102"/>
      <c r="E102" s="102"/>
      <c r="F102" s="102"/>
      <c r="G102" s="102"/>
      <c r="H102" s="49"/>
      <c r="K102" s="43"/>
      <c r="L102" s="43"/>
      <c r="M102" s="43"/>
      <c r="N102" s="43"/>
    </row>
    <row r="103" spans="1:14" ht="20" customHeight="1" x14ac:dyDescent="0.2">
      <c r="A103" s="52"/>
      <c r="B103" s="56"/>
      <c r="C103" s="103"/>
      <c r="D103" s="103"/>
      <c r="E103" s="103"/>
      <c r="F103" s="103"/>
      <c r="G103" s="103"/>
      <c r="H103" s="53"/>
      <c r="K103" s="43"/>
      <c r="L103" s="43"/>
      <c r="M103" s="43"/>
      <c r="N103" s="43"/>
    </row>
    <row r="104" spans="1:14" ht="20" customHeight="1" x14ac:dyDescent="0.2">
      <c r="A104" s="48"/>
      <c r="B104" s="55"/>
      <c r="C104" s="102"/>
      <c r="D104" s="102"/>
      <c r="E104" s="102"/>
      <c r="F104" s="102"/>
      <c r="G104" s="102"/>
      <c r="H104" s="49"/>
      <c r="K104" s="43"/>
      <c r="L104" s="43"/>
      <c r="M104" s="43"/>
      <c r="N104" s="43"/>
    </row>
    <row r="105" spans="1:14" ht="20" customHeight="1" x14ac:dyDescent="0.2">
      <c r="A105" s="52"/>
      <c r="B105" s="56"/>
      <c r="C105" s="103"/>
      <c r="D105" s="103"/>
      <c r="E105" s="103"/>
      <c r="F105" s="103"/>
      <c r="G105" s="103"/>
      <c r="H105" s="53"/>
      <c r="K105" s="43"/>
      <c r="L105" s="43"/>
      <c r="M105" s="43"/>
      <c r="N105" s="43"/>
    </row>
    <row r="106" spans="1:14" ht="20" customHeight="1" x14ac:dyDescent="0.2">
      <c r="A106" s="48"/>
      <c r="B106" s="55"/>
      <c r="C106" s="102"/>
      <c r="D106" s="102"/>
      <c r="E106" s="102"/>
      <c r="F106" s="102"/>
      <c r="G106" s="102"/>
      <c r="H106" s="49"/>
      <c r="K106" s="43"/>
      <c r="L106" s="43"/>
      <c r="M106" s="43"/>
      <c r="N106" s="43"/>
    </row>
    <row r="107" spans="1:14" ht="20" customHeight="1" x14ac:dyDescent="0.2">
      <c r="A107" s="52"/>
      <c r="B107" s="56"/>
      <c r="C107" s="103"/>
      <c r="D107" s="103"/>
      <c r="E107" s="103"/>
      <c r="F107" s="103"/>
      <c r="G107" s="103"/>
      <c r="H107" s="53"/>
      <c r="K107" s="43"/>
      <c r="L107" s="43"/>
      <c r="M107" s="43"/>
      <c r="N107" s="43"/>
    </row>
    <row r="108" spans="1:14" ht="20" customHeight="1" x14ac:dyDescent="0.2">
      <c r="A108" s="48"/>
      <c r="B108" s="55"/>
      <c r="C108" s="102"/>
      <c r="D108" s="102"/>
      <c r="E108" s="102"/>
      <c r="F108" s="102"/>
      <c r="G108" s="102"/>
      <c r="H108" s="49"/>
      <c r="K108" s="43"/>
      <c r="L108" s="43"/>
      <c r="M108" s="43"/>
      <c r="N108" s="43"/>
    </row>
    <row r="109" spans="1:14" ht="20" customHeight="1" x14ac:dyDescent="0.2">
      <c r="A109" s="52"/>
      <c r="B109" s="56"/>
      <c r="C109" s="103"/>
      <c r="D109" s="103"/>
      <c r="E109" s="103"/>
      <c r="F109" s="103"/>
      <c r="G109" s="103"/>
      <c r="H109" s="53"/>
      <c r="K109" s="43"/>
      <c r="L109" s="43"/>
      <c r="M109" s="43"/>
      <c r="N109" s="43"/>
    </row>
    <row r="110" spans="1:14" ht="20" customHeight="1" x14ac:dyDescent="0.2">
      <c r="A110" s="48"/>
      <c r="B110" s="55"/>
      <c r="C110" s="102"/>
      <c r="D110" s="102"/>
      <c r="E110" s="102"/>
      <c r="F110" s="102"/>
      <c r="G110" s="102"/>
      <c r="H110" s="49"/>
      <c r="K110" s="43"/>
      <c r="L110" s="43"/>
      <c r="M110" s="43"/>
      <c r="N110" s="43"/>
    </row>
    <row r="111" spans="1:14" ht="20" customHeight="1" x14ac:dyDescent="0.2">
      <c r="A111" s="52"/>
      <c r="B111" s="56"/>
      <c r="C111" s="103"/>
      <c r="D111" s="103"/>
      <c r="E111" s="103"/>
      <c r="F111" s="103"/>
      <c r="G111" s="103"/>
      <c r="H111" s="53"/>
      <c r="K111" s="43"/>
      <c r="L111" s="43"/>
      <c r="M111" s="43"/>
      <c r="N111" s="43"/>
    </row>
    <row r="112" spans="1:14" ht="20" customHeight="1" x14ac:dyDescent="0.2">
      <c r="A112" s="48"/>
      <c r="B112" s="55"/>
      <c r="C112" s="102"/>
      <c r="D112" s="102"/>
      <c r="E112" s="102"/>
      <c r="F112" s="102"/>
      <c r="G112" s="102"/>
      <c r="H112" s="49"/>
      <c r="K112" s="43"/>
      <c r="L112" s="43"/>
      <c r="M112" s="43"/>
      <c r="N112" s="43"/>
    </row>
    <row r="113" spans="1:14" ht="20" customHeight="1" x14ac:dyDescent="0.2">
      <c r="A113" s="52"/>
      <c r="B113" s="56"/>
      <c r="C113" s="103"/>
      <c r="D113" s="103"/>
      <c r="E113" s="103"/>
      <c r="F113" s="103"/>
      <c r="G113" s="103"/>
      <c r="H113" s="53"/>
      <c r="K113" s="43"/>
      <c r="L113" s="43"/>
      <c r="M113" s="43"/>
      <c r="N113" s="43"/>
    </row>
    <row r="114" spans="1:14" ht="20" customHeight="1" x14ac:dyDescent="0.2">
      <c r="A114" s="48"/>
      <c r="B114" s="55"/>
      <c r="C114" s="102"/>
      <c r="D114" s="102"/>
      <c r="E114" s="102"/>
      <c r="F114" s="102"/>
      <c r="G114" s="102"/>
      <c r="H114" s="49"/>
      <c r="K114" s="43"/>
      <c r="L114" s="43"/>
      <c r="M114" s="43"/>
      <c r="N114" s="43"/>
    </row>
    <row r="115" spans="1:14" ht="20" customHeight="1" x14ac:dyDescent="0.2">
      <c r="A115" s="52"/>
      <c r="B115" s="56"/>
      <c r="C115" s="103"/>
      <c r="D115" s="103"/>
      <c r="E115" s="103"/>
      <c r="F115" s="103"/>
      <c r="G115" s="103"/>
      <c r="H115" s="53"/>
      <c r="K115" s="43"/>
      <c r="L115" s="43"/>
      <c r="M115" s="43"/>
      <c r="N115" s="43"/>
    </row>
    <row r="116" spans="1:14" ht="20" customHeight="1" x14ac:dyDescent="0.2">
      <c r="A116" s="48"/>
      <c r="B116" s="55"/>
      <c r="C116" s="102"/>
      <c r="D116" s="102"/>
      <c r="E116" s="102"/>
      <c r="F116" s="102"/>
      <c r="G116" s="102"/>
      <c r="H116" s="49"/>
      <c r="K116" s="43"/>
      <c r="L116" s="43"/>
      <c r="M116" s="43"/>
      <c r="N116" s="43"/>
    </row>
    <row r="117" spans="1:14" ht="20" customHeight="1" x14ac:dyDescent="0.2">
      <c r="A117" s="52"/>
      <c r="B117" s="56"/>
      <c r="C117" s="103"/>
      <c r="D117" s="103"/>
      <c r="E117" s="103"/>
      <c r="F117" s="103"/>
      <c r="G117" s="103"/>
      <c r="H117" s="53"/>
      <c r="K117" s="43"/>
      <c r="L117" s="43"/>
      <c r="M117" s="43"/>
      <c r="N117" s="43"/>
    </row>
    <row r="118" spans="1:14" ht="20" customHeight="1" x14ac:dyDescent="0.2">
      <c r="A118" s="48"/>
      <c r="B118" s="55"/>
      <c r="C118" s="102"/>
      <c r="D118" s="102"/>
      <c r="E118" s="102"/>
      <c r="F118" s="102"/>
      <c r="G118" s="102"/>
      <c r="H118" s="49"/>
      <c r="K118" s="43"/>
      <c r="L118" s="43"/>
      <c r="M118" s="43"/>
      <c r="N118" s="43"/>
    </row>
    <row r="119" spans="1:14" ht="20" customHeight="1" x14ac:dyDescent="0.2">
      <c r="A119" s="52"/>
      <c r="B119" s="56"/>
      <c r="C119" s="103"/>
      <c r="D119" s="103"/>
      <c r="E119" s="103"/>
      <c r="F119" s="103"/>
      <c r="G119" s="103"/>
      <c r="H119" s="53"/>
      <c r="K119" s="43"/>
      <c r="L119" s="43"/>
      <c r="M119" s="43"/>
      <c r="N119" s="43"/>
    </row>
    <row r="120" spans="1:14" ht="20" customHeight="1" x14ac:dyDescent="0.2">
      <c r="A120" s="48"/>
      <c r="B120" s="55"/>
      <c r="C120" s="102"/>
      <c r="D120" s="102"/>
      <c r="E120" s="102"/>
      <c r="F120" s="102"/>
      <c r="G120" s="102"/>
      <c r="H120" s="49"/>
      <c r="K120" s="43"/>
      <c r="L120" s="43"/>
      <c r="M120" s="43"/>
      <c r="N120" s="43"/>
    </row>
    <row r="121" spans="1:14" ht="20" customHeight="1" x14ac:dyDescent="0.2">
      <c r="A121" s="52"/>
      <c r="B121" s="56"/>
      <c r="C121" s="103"/>
      <c r="D121" s="103"/>
      <c r="E121" s="103"/>
      <c r="F121" s="103"/>
      <c r="G121" s="103"/>
      <c r="H121" s="53"/>
    </row>
    <row r="122" spans="1:14" ht="20" customHeight="1" x14ac:dyDescent="0.2">
      <c r="A122" s="48"/>
      <c r="B122" s="55"/>
      <c r="C122" s="102"/>
      <c r="D122" s="102"/>
      <c r="E122" s="102"/>
      <c r="F122" s="102"/>
      <c r="G122" s="102"/>
      <c r="H122" s="49"/>
    </row>
    <row r="123" spans="1:14" ht="20" customHeight="1" x14ac:dyDescent="0.2">
      <c r="A123" s="52"/>
      <c r="B123" s="56"/>
      <c r="C123" s="103"/>
      <c r="D123" s="103"/>
      <c r="E123" s="103"/>
      <c r="F123" s="103"/>
      <c r="G123" s="103"/>
      <c r="H123" s="53"/>
    </row>
    <row r="124" spans="1:14" ht="20" customHeight="1" x14ac:dyDescent="0.2">
      <c r="A124" s="48"/>
      <c r="B124" s="55"/>
      <c r="C124" s="102"/>
      <c r="D124" s="102"/>
      <c r="E124" s="102"/>
      <c r="F124" s="102"/>
      <c r="G124" s="102"/>
      <c r="H124" s="49"/>
    </row>
    <row r="125" spans="1:14" ht="20" customHeight="1" x14ac:dyDescent="0.2">
      <c r="A125" s="52"/>
      <c r="B125" s="56"/>
      <c r="C125" s="103"/>
      <c r="D125" s="103"/>
      <c r="E125" s="103"/>
      <c r="F125" s="103"/>
      <c r="G125" s="103"/>
      <c r="H125" s="53"/>
    </row>
    <row r="126" spans="1:14" ht="20" customHeight="1" x14ac:dyDescent="0.2">
      <c r="A126" s="48"/>
      <c r="B126" s="55"/>
      <c r="C126" s="102"/>
      <c r="D126" s="102"/>
      <c r="E126" s="102"/>
      <c r="F126" s="102"/>
      <c r="G126" s="102"/>
      <c r="H126" s="49"/>
    </row>
    <row r="127" spans="1:14" ht="20" customHeight="1" x14ac:dyDescent="0.2">
      <c r="A127" s="52"/>
      <c r="B127" s="56"/>
      <c r="C127" s="103"/>
      <c r="D127" s="103"/>
      <c r="E127" s="103"/>
      <c r="F127" s="103"/>
      <c r="G127" s="103"/>
      <c r="H127" s="53"/>
    </row>
    <row r="128" spans="1:14" ht="20" customHeight="1" x14ac:dyDescent="0.2">
      <c r="A128" s="48"/>
      <c r="B128" s="55"/>
      <c r="C128" s="102"/>
      <c r="D128" s="102"/>
      <c r="E128" s="102"/>
      <c r="F128" s="102"/>
      <c r="G128" s="102"/>
      <c r="H128" s="49"/>
    </row>
    <row r="129" spans="1:8" ht="20" customHeight="1" x14ac:dyDescent="0.2">
      <c r="A129" s="52"/>
      <c r="B129" s="56"/>
      <c r="C129" s="103"/>
      <c r="D129" s="103"/>
      <c r="E129" s="103"/>
      <c r="F129" s="103"/>
      <c r="G129" s="103"/>
      <c r="H129" s="53"/>
    </row>
    <row r="130" spans="1:8" ht="20" customHeight="1" x14ac:dyDescent="0.2">
      <c r="A130" s="48"/>
      <c r="B130" s="55"/>
      <c r="C130" s="102"/>
      <c r="D130" s="102"/>
      <c r="E130" s="102"/>
      <c r="F130" s="102"/>
      <c r="G130" s="102"/>
      <c r="H130" s="49"/>
    </row>
    <row r="131" spans="1:8" ht="20" customHeight="1" x14ac:dyDescent="0.2">
      <c r="A131" s="52"/>
      <c r="B131" s="56"/>
      <c r="C131" s="103"/>
      <c r="D131" s="103"/>
      <c r="E131" s="103"/>
      <c r="F131" s="103"/>
      <c r="G131" s="103"/>
      <c r="H131" s="53"/>
    </row>
    <row r="132" spans="1:8" ht="20" customHeight="1" x14ac:dyDescent="0.2">
      <c r="A132" s="48"/>
      <c r="B132" s="55"/>
      <c r="C132" s="102"/>
      <c r="D132" s="102"/>
      <c r="E132" s="102"/>
      <c r="F132" s="102"/>
      <c r="G132" s="102"/>
      <c r="H132" s="49"/>
    </row>
    <row r="133" spans="1:8" ht="20" customHeight="1" x14ac:dyDescent="0.2">
      <c r="A133" s="52"/>
      <c r="B133" s="56"/>
      <c r="C133" s="103"/>
      <c r="D133" s="103"/>
      <c r="E133" s="103"/>
      <c r="F133" s="103"/>
      <c r="G133" s="103"/>
      <c r="H133" s="53"/>
    </row>
    <row r="134" spans="1:8" ht="20" customHeight="1" x14ac:dyDescent="0.2">
      <c r="A134" s="48"/>
      <c r="B134" s="55"/>
      <c r="C134" s="102"/>
      <c r="D134" s="102"/>
      <c r="E134" s="102"/>
      <c r="F134" s="102"/>
      <c r="G134" s="102"/>
      <c r="H134" s="49"/>
    </row>
    <row r="135" spans="1:8" ht="20" customHeight="1" x14ac:dyDescent="0.2">
      <c r="A135" s="52"/>
      <c r="B135" s="56"/>
      <c r="C135" s="103"/>
      <c r="D135" s="103"/>
      <c r="E135" s="103"/>
      <c r="F135" s="103"/>
      <c r="G135" s="103"/>
      <c r="H135" s="53"/>
    </row>
    <row r="136" spans="1:8" ht="20" customHeight="1" x14ac:dyDescent="0.2">
      <c r="A136" s="48"/>
      <c r="B136" s="55"/>
      <c r="C136" s="102"/>
      <c r="D136" s="102"/>
      <c r="E136" s="102"/>
      <c r="F136" s="102"/>
      <c r="G136" s="102"/>
      <c r="H136" s="49"/>
    </row>
    <row r="137" spans="1:8" ht="20" customHeight="1" x14ac:dyDescent="0.2">
      <c r="A137" s="52"/>
      <c r="B137" s="56"/>
      <c r="C137" s="103"/>
      <c r="D137" s="103"/>
      <c r="E137" s="103"/>
      <c r="F137" s="103"/>
      <c r="G137" s="103"/>
      <c r="H137" s="53"/>
    </row>
    <row r="138" spans="1:8" ht="20" customHeight="1" x14ac:dyDescent="0.2">
      <c r="A138" s="48"/>
      <c r="B138" s="55"/>
      <c r="C138" s="102"/>
      <c r="D138" s="102"/>
      <c r="E138" s="102"/>
      <c r="F138" s="102"/>
      <c r="G138" s="102"/>
      <c r="H138" s="49"/>
    </row>
    <row r="139" spans="1:8" ht="20" customHeight="1" x14ac:dyDescent="0.2">
      <c r="A139" s="52"/>
      <c r="B139" s="56"/>
      <c r="C139" s="103"/>
      <c r="D139" s="103"/>
      <c r="E139" s="103"/>
      <c r="F139" s="103"/>
      <c r="G139" s="103"/>
      <c r="H139" s="53"/>
    </row>
    <row r="140" spans="1:8" ht="20" customHeight="1" x14ac:dyDescent="0.2">
      <c r="A140" s="48"/>
      <c r="B140" s="55"/>
      <c r="C140" s="102"/>
      <c r="D140" s="102"/>
      <c r="E140" s="102"/>
      <c r="F140" s="102"/>
      <c r="G140" s="102"/>
      <c r="H140" s="49"/>
    </row>
    <row r="141" spans="1:8" ht="20" customHeight="1" x14ac:dyDescent="0.2">
      <c r="A141" s="52"/>
      <c r="B141" s="56"/>
      <c r="C141" s="103"/>
      <c r="D141" s="103"/>
      <c r="E141" s="103"/>
      <c r="F141" s="103"/>
      <c r="G141" s="103"/>
      <c r="H141" s="53"/>
    </row>
    <row r="142" spans="1:8" ht="20" customHeight="1" x14ac:dyDescent="0.2">
      <c r="A142" s="48"/>
      <c r="B142" s="55"/>
      <c r="C142" s="102"/>
      <c r="D142" s="102"/>
      <c r="E142" s="102"/>
      <c r="F142" s="102"/>
      <c r="G142" s="102"/>
      <c r="H142" s="49"/>
    </row>
    <row r="143" spans="1:8" ht="20" customHeight="1" x14ac:dyDescent="0.2">
      <c r="A143" s="52"/>
      <c r="B143" s="56"/>
      <c r="C143" s="103"/>
      <c r="D143" s="103"/>
      <c r="E143" s="103"/>
      <c r="F143" s="103"/>
      <c r="G143" s="103"/>
      <c r="H143" s="53"/>
    </row>
    <row r="144" spans="1:8" ht="20" customHeight="1" x14ac:dyDescent="0.2">
      <c r="A144" s="48"/>
      <c r="B144" s="55"/>
      <c r="C144" s="102"/>
      <c r="D144" s="102"/>
      <c r="E144" s="102"/>
      <c r="F144" s="102"/>
      <c r="G144" s="102"/>
      <c r="H144" s="49"/>
    </row>
    <row r="145" spans="1:8" ht="20" customHeight="1" x14ac:dyDescent="0.2">
      <c r="A145" s="52"/>
      <c r="B145" s="56"/>
      <c r="C145" s="103"/>
      <c r="D145" s="103"/>
      <c r="E145" s="103"/>
      <c r="F145" s="103"/>
      <c r="G145" s="103"/>
      <c r="H145" s="53"/>
    </row>
    <row r="146" spans="1:8" ht="20" customHeight="1" x14ac:dyDescent="0.2">
      <c r="A146" s="48"/>
      <c r="B146" s="55"/>
      <c r="C146" s="102"/>
      <c r="D146" s="102"/>
      <c r="E146" s="102"/>
      <c r="F146" s="102"/>
      <c r="G146" s="102"/>
      <c r="H146" s="49"/>
    </row>
    <row r="147" spans="1:8" ht="20" customHeight="1" x14ac:dyDescent="0.2">
      <c r="A147" s="52"/>
      <c r="B147" s="56"/>
      <c r="C147" s="103"/>
      <c r="D147" s="103"/>
      <c r="E147" s="103"/>
      <c r="F147" s="103"/>
      <c r="G147" s="103"/>
      <c r="H147" s="53"/>
    </row>
    <row r="148" spans="1:8" ht="20" customHeight="1" x14ac:dyDescent="0.2">
      <c r="A148" s="48"/>
      <c r="B148" s="55"/>
      <c r="C148" s="102"/>
      <c r="D148" s="102"/>
      <c r="E148" s="102"/>
      <c r="F148" s="102"/>
      <c r="G148" s="102"/>
      <c r="H148" s="49"/>
    </row>
    <row r="149" spans="1:8" ht="20" customHeight="1" x14ac:dyDescent="0.2">
      <c r="A149" s="52"/>
      <c r="B149" s="56"/>
      <c r="C149" s="103"/>
      <c r="D149" s="103"/>
      <c r="E149" s="103"/>
      <c r="F149" s="103"/>
      <c r="G149" s="103"/>
      <c r="H149" s="53"/>
    </row>
    <row r="150" spans="1:8" ht="20" customHeight="1" x14ac:dyDescent="0.2">
      <c r="A150" s="48"/>
      <c r="B150" s="55"/>
      <c r="C150" s="102"/>
      <c r="D150" s="102"/>
      <c r="E150" s="102"/>
      <c r="F150" s="102"/>
      <c r="G150" s="102"/>
      <c r="H150" s="49"/>
    </row>
    <row r="151" spans="1:8" ht="20" customHeight="1" x14ac:dyDescent="0.2">
      <c r="A151" s="52"/>
      <c r="B151" s="56"/>
      <c r="C151" s="103"/>
      <c r="D151" s="103"/>
      <c r="E151" s="103"/>
      <c r="F151" s="103"/>
      <c r="G151" s="103"/>
      <c r="H151" s="53"/>
    </row>
    <row r="152" spans="1:8" ht="20" customHeight="1" x14ac:dyDescent="0.2">
      <c r="A152" s="48"/>
      <c r="B152" s="55"/>
      <c r="C152" s="102"/>
      <c r="D152" s="102"/>
      <c r="E152" s="102"/>
      <c r="F152" s="102"/>
      <c r="G152" s="102"/>
      <c r="H152" s="49"/>
    </row>
    <row r="153" spans="1:8" ht="20" customHeight="1" x14ac:dyDescent="0.2">
      <c r="A153" s="52"/>
      <c r="B153" s="56"/>
      <c r="C153" s="103"/>
      <c r="D153" s="103"/>
      <c r="E153" s="103"/>
      <c r="F153" s="103"/>
      <c r="G153" s="103"/>
      <c r="H153" s="53"/>
    </row>
    <row r="154" spans="1:8" ht="20" customHeight="1" x14ac:dyDescent="0.2">
      <c r="A154" s="48"/>
      <c r="B154" s="55"/>
      <c r="C154" s="102"/>
      <c r="D154" s="102"/>
      <c r="E154" s="102"/>
      <c r="F154" s="102"/>
      <c r="G154" s="102"/>
      <c r="H154" s="49"/>
    </row>
    <row r="155" spans="1:8" ht="20" customHeight="1" x14ac:dyDescent="0.2">
      <c r="A155" s="52"/>
      <c r="B155" s="56"/>
      <c r="C155" s="103"/>
      <c r="D155" s="103"/>
      <c r="E155" s="103"/>
      <c r="F155" s="103"/>
      <c r="G155" s="103"/>
      <c r="H155" s="53"/>
    </row>
    <row r="156" spans="1:8" ht="20" customHeight="1" x14ac:dyDescent="0.2">
      <c r="A156" s="48"/>
      <c r="B156" s="55"/>
      <c r="C156" s="102"/>
      <c r="D156" s="102"/>
      <c r="E156" s="102"/>
      <c r="F156" s="102"/>
      <c r="G156" s="102"/>
      <c r="H156" s="49"/>
    </row>
    <row r="157" spans="1:8" ht="20" customHeight="1" x14ac:dyDescent="0.2">
      <c r="A157" s="52"/>
      <c r="B157" s="56"/>
      <c r="C157" s="103"/>
      <c r="D157" s="103"/>
      <c r="E157" s="103"/>
      <c r="F157" s="103"/>
      <c r="G157" s="103"/>
      <c r="H157" s="53"/>
    </row>
    <row r="158" spans="1:8" ht="20" customHeight="1" x14ac:dyDescent="0.2">
      <c r="A158" s="48"/>
      <c r="B158" s="55"/>
      <c r="C158" s="102"/>
      <c r="D158" s="102"/>
      <c r="E158" s="102"/>
      <c r="F158" s="102"/>
      <c r="G158" s="102"/>
      <c r="H158" s="49"/>
    </row>
    <row r="159" spans="1:8" ht="20" customHeight="1" x14ac:dyDescent="0.2">
      <c r="A159" s="52"/>
      <c r="B159" s="56"/>
      <c r="C159" s="103"/>
      <c r="D159" s="103"/>
      <c r="E159" s="103"/>
      <c r="F159" s="103"/>
      <c r="G159" s="103"/>
      <c r="H159" s="53"/>
    </row>
    <row r="160" spans="1:8" ht="20" customHeight="1" x14ac:dyDescent="0.2">
      <c r="A160" s="48"/>
      <c r="B160" s="55"/>
      <c r="C160" s="102"/>
      <c r="D160" s="102"/>
      <c r="E160" s="102"/>
      <c r="F160" s="102"/>
      <c r="G160" s="102"/>
      <c r="H160" s="49"/>
    </row>
    <row r="161" spans="1:8" ht="20" customHeight="1" x14ac:dyDescent="0.2">
      <c r="A161" s="52"/>
      <c r="B161" s="56"/>
      <c r="C161" s="103"/>
      <c r="D161" s="103"/>
      <c r="E161" s="103"/>
      <c r="F161" s="103"/>
      <c r="G161" s="103"/>
      <c r="H161" s="53"/>
    </row>
    <row r="162" spans="1:8" ht="20" customHeight="1" x14ac:dyDescent="0.2">
      <c r="A162" s="48"/>
      <c r="B162" s="55"/>
      <c r="C162" s="102"/>
      <c r="D162" s="102"/>
      <c r="E162" s="102"/>
      <c r="F162" s="102"/>
      <c r="G162" s="102"/>
      <c r="H162" s="49"/>
    </row>
    <row r="163" spans="1:8" ht="20" customHeight="1" x14ac:dyDescent="0.2">
      <c r="A163" s="52"/>
      <c r="B163" s="56"/>
      <c r="C163" s="103"/>
      <c r="D163" s="103"/>
      <c r="E163" s="103"/>
      <c r="F163" s="103"/>
      <c r="G163" s="103"/>
      <c r="H163" s="53"/>
    </row>
    <row r="164" spans="1:8" ht="20" customHeight="1" x14ac:dyDescent="0.2">
      <c r="A164" s="48"/>
      <c r="B164" s="55"/>
      <c r="C164" s="102"/>
      <c r="D164" s="102"/>
      <c r="E164" s="102"/>
      <c r="F164" s="102"/>
      <c r="G164" s="102"/>
      <c r="H164" s="49"/>
    </row>
    <row r="165" spans="1:8" ht="20" customHeight="1" x14ac:dyDescent="0.2">
      <c r="A165" s="52"/>
      <c r="B165" s="56"/>
      <c r="C165" s="103"/>
      <c r="D165" s="103"/>
      <c r="E165" s="103"/>
      <c r="F165" s="103"/>
      <c r="G165" s="103"/>
      <c r="H165" s="53"/>
    </row>
    <row r="166" spans="1:8" ht="20" customHeight="1" x14ac:dyDescent="0.2">
      <c r="A166" s="48"/>
      <c r="B166" s="55"/>
      <c r="C166" s="102"/>
      <c r="D166" s="102"/>
      <c r="E166" s="102"/>
      <c r="F166" s="102"/>
      <c r="G166" s="102"/>
      <c r="H166" s="49"/>
    </row>
    <row r="167" spans="1:8" ht="20" customHeight="1" x14ac:dyDescent="0.2">
      <c r="A167" s="52"/>
      <c r="B167" s="56"/>
      <c r="C167" s="103"/>
      <c r="D167" s="103"/>
      <c r="E167" s="103"/>
      <c r="F167" s="103"/>
      <c r="G167" s="103"/>
      <c r="H167" s="53"/>
    </row>
    <row r="168" spans="1:8" ht="20" customHeight="1" x14ac:dyDescent="0.2">
      <c r="A168" s="48"/>
      <c r="B168" s="55"/>
      <c r="C168" s="102"/>
      <c r="D168" s="102"/>
      <c r="E168" s="102"/>
      <c r="F168" s="102"/>
      <c r="G168" s="102"/>
      <c r="H168" s="49"/>
    </row>
    <row r="169" spans="1:8" ht="20" customHeight="1" x14ac:dyDescent="0.2">
      <c r="A169" s="52"/>
      <c r="B169" s="56"/>
      <c r="C169" s="103"/>
      <c r="D169" s="103"/>
      <c r="E169" s="103"/>
      <c r="F169" s="103"/>
      <c r="G169" s="103"/>
      <c r="H169" s="53"/>
    </row>
    <row r="170" spans="1:8" ht="20" customHeight="1" x14ac:dyDescent="0.2">
      <c r="A170" s="48"/>
      <c r="B170" s="55"/>
      <c r="C170" s="102"/>
      <c r="D170" s="102"/>
      <c r="E170" s="102"/>
      <c r="F170" s="102"/>
      <c r="G170" s="102"/>
      <c r="H170" s="49"/>
    </row>
    <row r="171" spans="1:8" ht="20" customHeight="1" x14ac:dyDescent="0.2">
      <c r="A171" s="52"/>
      <c r="B171" s="56"/>
      <c r="C171" s="103"/>
      <c r="D171" s="103"/>
      <c r="E171" s="103"/>
      <c r="F171" s="103"/>
      <c r="G171" s="103"/>
      <c r="H171" s="53"/>
    </row>
    <row r="172" spans="1:8" ht="20" customHeight="1" x14ac:dyDescent="0.2">
      <c r="A172" s="48"/>
      <c r="B172" s="55"/>
      <c r="C172" s="102"/>
      <c r="D172" s="102"/>
      <c r="E172" s="102"/>
      <c r="F172" s="102"/>
      <c r="G172" s="102"/>
      <c r="H172" s="49"/>
    </row>
    <row r="173" spans="1:8" ht="20" customHeight="1" x14ac:dyDescent="0.2">
      <c r="A173" s="52"/>
      <c r="B173" s="56"/>
      <c r="C173" s="103"/>
      <c r="D173" s="103"/>
      <c r="E173" s="103"/>
      <c r="F173" s="103"/>
      <c r="G173" s="103"/>
      <c r="H173" s="53"/>
    </row>
    <row r="174" spans="1:8" ht="20" customHeight="1" x14ac:dyDescent="0.2">
      <c r="A174" s="48"/>
      <c r="B174" s="55"/>
      <c r="C174" s="102"/>
      <c r="D174" s="102"/>
      <c r="E174" s="102"/>
      <c r="F174" s="102"/>
      <c r="G174" s="102"/>
      <c r="H174" s="49"/>
    </row>
    <row r="175" spans="1:8" ht="20" customHeight="1" x14ac:dyDescent="0.2">
      <c r="A175" s="52"/>
      <c r="B175" s="56"/>
      <c r="C175" s="103"/>
      <c r="D175" s="103"/>
      <c r="E175" s="103"/>
      <c r="F175" s="103"/>
      <c r="G175" s="103"/>
      <c r="H175" s="53"/>
    </row>
    <row r="176" spans="1:8" ht="20" customHeight="1" x14ac:dyDescent="0.2">
      <c r="A176" s="48"/>
      <c r="B176" s="55"/>
      <c r="C176" s="102"/>
      <c r="D176" s="102"/>
      <c r="E176" s="102"/>
      <c r="F176" s="102"/>
      <c r="G176" s="102"/>
      <c r="H176" s="49"/>
    </row>
    <row r="177" spans="1:8" ht="20" customHeight="1" x14ac:dyDescent="0.2">
      <c r="A177" s="52"/>
      <c r="B177" s="56"/>
      <c r="C177" s="103"/>
      <c r="D177" s="103"/>
      <c r="E177" s="103"/>
      <c r="F177" s="103"/>
      <c r="G177" s="103"/>
      <c r="H177" s="53"/>
    </row>
    <row r="178" spans="1:8" ht="20" customHeight="1" x14ac:dyDescent="0.2">
      <c r="A178" s="48"/>
      <c r="B178" s="55"/>
      <c r="C178" s="102"/>
      <c r="D178" s="102"/>
      <c r="E178" s="102"/>
      <c r="F178" s="102"/>
      <c r="G178" s="102"/>
      <c r="H178" s="49"/>
    </row>
    <row r="179" spans="1:8" ht="20" customHeight="1" x14ac:dyDescent="0.2">
      <c r="A179" s="52"/>
      <c r="B179" s="56"/>
      <c r="C179" s="103"/>
      <c r="D179" s="103"/>
      <c r="E179" s="103"/>
      <c r="F179" s="103"/>
      <c r="G179" s="103"/>
      <c r="H179" s="53"/>
    </row>
    <row r="180" spans="1:8" ht="20" customHeight="1" x14ac:dyDescent="0.2">
      <c r="A180" s="48"/>
      <c r="B180" s="55"/>
      <c r="C180" s="102"/>
      <c r="D180" s="102"/>
      <c r="E180" s="102"/>
      <c r="F180" s="102"/>
      <c r="G180" s="102"/>
      <c r="H180" s="49"/>
    </row>
    <row r="181" spans="1:8" ht="20" customHeight="1" x14ac:dyDescent="0.2">
      <c r="A181" s="52"/>
      <c r="B181" s="56"/>
      <c r="C181" s="103"/>
      <c r="D181" s="103"/>
      <c r="E181" s="103"/>
      <c r="F181" s="103"/>
      <c r="G181" s="103"/>
      <c r="H181" s="53"/>
    </row>
    <row r="182" spans="1:8" ht="20" customHeight="1" x14ac:dyDescent="0.2">
      <c r="A182" s="48"/>
      <c r="B182" s="55"/>
      <c r="C182" s="102"/>
      <c r="D182" s="102"/>
      <c r="E182" s="102"/>
      <c r="F182" s="102"/>
      <c r="G182" s="102"/>
      <c r="H182" s="49"/>
    </row>
    <row r="183" spans="1:8" ht="20" customHeight="1" x14ac:dyDescent="0.2">
      <c r="A183" s="52"/>
      <c r="B183" s="56"/>
      <c r="C183" s="103"/>
      <c r="D183" s="103"/>
      <c r="E183" s="103"/>
      <c r="F183" s="103"/>
      <c r="G183" s="103"/>
      <c r="H183" s="53"/>
    </row>
    <row r="184" spans="1:8" ht="20" customHeight="1" x14ac:dyDescent="0.2">
      <c r="A184" s="48"/>
      <c r="B184" s="55"/>
      <c r="C184" s="102"/>
      <c r="D184" s="102"/>
      <c r="E184" s="102"/>
      <c r="F184" s="102"/>
      <c r="G184" s="102"/>
      <c r="H184" s="49"/>
    </row>
    <row r="185" spans="1:8" ht="20" customHeight="1" x14ac:dyDescent="0.2">
      <c r="A185" s="52"/>
      <c r="B185" s="56"/>
      <c r="C185" s="103"/>
      <c r="D185" s="103"/>
      <c r="E185" s="103"/>
      <c r="F185" s="103"/>
      <c r="G185" s="103"/>
      <c r="H185" s="53"/>
    </row>
    <row r="186" spans="1:8" ht="20" customHeight="1" x14ac:dyDescent="0.2">
      <c r="A186" s="48"/>
      <c r="B186" s="55"/>
      <c r="C186" s="102"/>
      <c r="D186" s="102"/>
      <c r="E186" s="102"/>
      <c r="F186" s="102"/>
      <c r="G186" s="102"/>
      <c r="H186" s="49"/>
    </row>
    <row r="187" spans="1:8" ht="20" customHeight="1" x14ac:dyDescent="0.2">
      <c r="A187" s="52"/>
      <c r="B187" s="56"/>
      <c r="C187" s="103"/>
      <c r="D187" s="103"/>
      <c r="E187" s="103"/>
      <c r="F187" s="103"/>
      <c r="G187" s="103"/>
      <c r="H187" s="53"/>
    </row>
    <row r="188" spans="1:8" ht="20" customHeight="1" x14ac:dyDescent="0.2">
      <c r="A188" s="48"/>
      <c r="B188" s="55"/>
      <c r="C188" s="102"/>
      <c r="D188" s="102"/>
      <c r="E188" s="102"/>
      <c r="F188" s="102"/>
      <c r="G188" s="102"/>
      <c r="H188" s="49"/>
    </row>
    <row r="189" spans="1:8" ht="20" customHeight="1" x14ac:dyDescent="0.2">
      <c r="A189" s="52"/>
      <c r="B189" s="56"/>
      <c r="C189" s="103"/>
      <c r="D189" s="103"/>
      <c r="E189" s="103"/>
      <c r="F189" s="103"/>
      <c r="G189" s="103"/>
      <c r="H189" s="53"/>
    </row>
    <row r="190" spans="1:8" ht="20" customHeight="1" x14ac:dyDescent="0.2">
      <c r="A190" s="48"/>
      <c r="B190" s="55"/>
      <c r="C190" s="102"/>
      <c r="D190" s="102"/>
      <c r="E190" s="102"/>
      <c r="F190" s="102"/>
      <c r="G190" s="102"/>
      <c r="H190" s="49"/>
    </row>
    <row r="191" spans="1:8" ht="20" customHeight="1" x14ac:dyDescent="0.2">
      <c r="A191" s="52"/>
      <c r="B191" s="56"/>
      <c r="C191" s="103"/>
      <c r="D191" s="103"/>
      <c r="E191" s="103"/>
      <c r="F191" s="103"/>
      <c r="G191" s="103"/>
      <c r="H191" s="53"/>
    </row>
    <row r="192" spans="1:8" ht="20" customHeight="1" x14ac:dyDescent="0.2">
      <c r="A192" s="48"/>
      <c r="B192" s="55"/>
      <c r="C192" s="102"/>
      <c r="D192" s="102"/>
      <c r="E192" s="102"/>
      <c r="F192" s="102"/>
      <c r="G192" s="102"/>
      <c r="H192" s="49"/>
    </row>
    <row r="193" spans="1:8" ht="20" customHeight="1" x14ac:dyDescent="0.2">
      <c r="A193" s="52"/>
      <c r="B193" s="56"/>
      <c r="C193" s="103"/>
      <c r="D193" s="103"/>
      <c r="E193" s="103"/>
      <c r="F193" s="103"/>
      <c r="G193" s="103"/>
      <c r="H193" s="53"/>
    </row>
    <row r="194" spans="1:8" ht="20" customHeight="1" x14ac:dyDescent="0.2">
      <c r="A194" s="48"/>
      <c r="B194" s="55"/>
      <c r="C194" s="102"/>
      <c r="D194" s="102"/>
      <c r="E194" s="102"/>
      <c r="F194" s="102"/>
      <c r="G194" s="102"/>
      <c r="H194" s="49"/>
    </row>
    <row r="195" spans="1:8" ht="20" customHeight="1" x14ac:dyDescent="0.2">
      <c r="A195" s="52"/>
      <c r="B195" s="56"/>
      <c r="C195" s="103"/>
      <c r="D195" s="103"/>
      <c r="E195" s="103"/>
      <c r="F195" s="103"/>
      <c r="G195" s="103"/>
      <c r="H195" s="53"/>
    </row>
    <row r="196" spans="1:8" ht="20" customHeight="1" x14ac:dyDescent="0.2">
      <c r="A196" s="48"/>
      <c r="B196" s="55"/>
      <c r="C196" s="102"/>
      <c r="D196" s="102"/>
      <c r="E196" s="102"/>
      <c r="F196" s="102"/>
      <c r="G196" s="102"/>
      <c r="H196" s="49"/>
    </row>
    <row r="197" spans="1:8" ht="20" customHeight="1" x14ac:dyDescent="0.2">
      <c r="A197" s="52"/>
      <c r="B197" s="56"/>
      <c r="C197" s="103"/>
      <c r="D197" s="103"/>
      <c r="E197" s="103"/>
      <c r="F197" s="103"/>
      <c r="G197" s="103"/>
      <c r="H197" s="53"/>
    </row>
    <row r="198" spans="1:8" ht="20" customHeight="1" x14ac:dyDescent="0.2">
      <c r="A198" s="48"/>
      <c r="B198" s="55"/>
      <c r="C198" s="102"/>
      <c r="D198" s="102"/>
      <c r="E198" s="102"/>
      <c r="F198" s="102"/>
      <c r="G198" s="102"/>
      <c r="H198" s="49"/>
    </row>
    <row r="199" spans="1:8" ht="20" customHeight="1" x14ac:dyDescent="0.2">
      <c r="A199"/>
      <c r="B199"/>
      <c r="C199"/>
      <c r="D199"/>
      <c r="E199"/>
      <c r="F199"/>
      <c r="G199"/>
      <c r="H199"/>
    </row>
    <row r="200" spans="1:8" ht="20" customHeight="1" x14ac:dyDescent="0.2">
      <c r="A200"/>
      <c r="B200"/>
      <c r="C200"/>
      <c r="D200"/>
      <c r="E200"/>
      <c r="F200"/>
      <c r="G200"/>
      <c r="H200"/>
    </row>
    <row r="201" spans="1:8" ht="20" customHeight="1" x14ac:dyDescent="0.2">
      <c r="A201"/>
      <c r="B201"/>
      <c r="C201"/>
      <c r="D201"/>
      <c r="E201"/>
      <c r="F201"/>
      <c r="G201"/>
      <c r="H201"/>
    </row>
    <row r="202" spans="1:8" ht="20" customHeight="1" x14ac:dyDescent="0.2">
      <c r="A202"/>
      <c r="B202"/>
      <c r="C202"/>
      <c r="D202"/>
      <c r="E202"/>
      <c r="F202"/>
      <c r="G202"/>
      <c r="H202"/>
    </row>
    <row r="203" spans="1:8" ht="20" customHeight="1" x14ac:dyDescent="0.2">
      <c r="A203"/>
      <c r="B203"/>
      <c r="C203"/>
      <c r="D203"/>
      <c r="E203"/>
      <c r="F203"/>
      <c r="G203"/>
      <c r="H203"/>
    </row>
    <row r="204" spans="1:8" ht="20" customHeight="1" x14ac:dyDescent="0.2">
      <c r="A204"/>
      <c r="B204"/>
      <c r="C204"/>
      <c r="D204"/>
      <c r="E204"/>
      <c r="F204"/>
      <c r="G204"/>
      <c r="H204"/>
    </row>
    <row r="205" spans="1:8" ht="20" customHeight="1" x14ac:dyDescent="0.2">
      <c r="A205"/>
      <c r="B205"/>
      <c r="C205"/>
      <c r="D205"/>
      <c r="E205"/>
      <c r="F205"/>
      <c r="G205"/>
      <c r="H205"/>
    </row>
    <row r="206" spans="1:8" ht="20" customHeight="1" x14ac:dyDescent="0.2">
      <c r="A206"/>
      <c r="B206"/>
      <c r="C206"/>
      <c r="D206"/>
      <c r="E206"/>
      <c r="F206"/>
      <c r="G206"/>
      <c r="H206"/>
    </row>
    <row r="207" spans="1:8" ht="20" customHeight="1" x14ac:dyDescent="0.2">
      <c r="A207"/>
      <c r="B207"/>
      <c r="C207"/>
      <c r="D207"/>
      <c r="E207"/>
      <c r="F207"/>
      <c r="G207"/>
      <c r="H207"/>
    </row>
    <row r="208" spans="1:8" ht="20" customHeight="1" x14ac:dyDescent="0.2">
      <c r="A208"/>
      <c r="B208"/>
      <c r="C208"/>
      <c r="D208"/>
      <c r="E208"/>
      <c r="F208"/>
      <c r="G208"/>
      <c r="H208"/>
    </row>
    <row r="209" spans="1:8" ht="20" customHeight="1" x14ac:dyDescent="0.2">
      <c r="A209"/>
      <c r="B209"/>
      <c r="C209"/>
      <c r="D209"/>
      <c r="E209"/>
      <c r="F209"/>
      <c r="G209"/>
      <c r="H209"/>
    </row>
    <row r="210" spans="1:8" ht="20" customHeight="1" x14ac:dyDescent="0.2">
      <c r="A210"/>
      <c r="B210"/>
      <c r="C210"/>
      <c r="D210"/>
      <c r="E210"/>
      <c r="F210"/>
      <c r="G210"/>
      <c r="H210"/>
    </row>
    <row r="211" spans="1:8" ht="20" customHeight="1" x14ac:dyDescent="0.2">
      <c r="A211"/>
      <c r="B211"/>
      <c r="C211"/>
      <c r="D211"/>
      <c r="E211"/>
      <c r="F211"/>
      <c r="G211"/>
      <c r="H211"/>
    </row>
    <row r="212" spans="1:8" ht="20" customHeight="1" x14ac:dyDescent="0.2">
      <c r="A212"/>
      <c r="B212"/>
      <c r="C212"/>
      <c r="D212"/>
      <c r="E212"/>
      <c r="F212"/>
      <c r="G212"/>
      <c r="H212"/>
    </row>
    <row r="213" spans="1:8" ht="20" customHeight="1" x14ac:dyDescent="0.2">
      <c r="A213"/>
      <c r="B213"/>
      <c r="C213"/>
      <c r="D213"/>
      <c r="E213"/>
      <c r="F213"/>
      <c r="G213"/>
      <c r="H213"/>
    </row>
    <row r="214" spans="1:8" ht="20" customHeight="1" x14ac:dyDescent="0.2">
      <c r="A214"/>
      <c r="B214"/>
      <c r="C214"/>
      <c r="D214"/>
      <c r="E214"/>
      <c r="F214"/>
      <c r="G214"/>
      <c r="H214"/>
    </row>
    <row r="215" spans="1:8" ht="20" customHeight="1" x14ac:dyDescent="0.2">
      <c r="A215"/>
      <c r="B215"/>
      <c r="C215"/>
      <c r="D215"/>
      <c r="E215"/>
      <c r="F215"/>
      <c r="G215"/>
      <c r="H215"/>
    </row>
  </sheetData>
  <sheetProtection formatCells="0" formatColumns="0" formatRows="0" insertColumns="0" insertRows="0" autoFilter="0"/>
  <autoFilter ref="A6:H6" xr:uid="{00000000-0001-0000-0C00-000000000000}"/>
  <mergeCells count="2">
    <mergeCell ref="B4:H4"/>
    <mergeCell ref="B5:H5"/>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104" customWidth="1"/>
    <col min="2" max="2" width="18.6640625" style="104" customWidth="1"/>
    <col min="3" max="3" width="18.5" style="104" customWidth="1"/>
    <col min="4" max="4" width="18.5" style="122" customWidth="1"/>
    <col min="5" max="8" width="18.33203125" style="122" customWidth="1"/>
    <col min="9" max="15" width="12.6640625" style="104" customWidth="1"/>
    <col min="16" max="16384" width="10.83203125" style="104"/>
  </cols>
  <sheetData>
    <row r="1" spans="2:15" ht="72" customHeight="1" x14ac:dyDescent="0.2">
      <c r="D1" s="32"/>
      <c r="E1" s="32"/>
      <c r="F1" s="44"/>
      <c r="G1" s="44" t="s">
        <v>134</v>
      </c>
      <c r="H1" s="105"/>
      <c r="I1" s="105"/>
    </row>
    <row r="2" spans="2:15" ht="40" customHeight="1" x14ac:dyDescent="0.2">
      <c r="B2" s="14"/>
      <c r="C2" s="14"/>
      <c r="D2" s="14"/>
      <c r="E2" s="14"/>
      <c r="F2" s="14"/>
      <c r="G2" s="14"/>
      <c r="H2" s="14"/>
    </row>
    <row r="3" spans="2:15" ht="20" customHeight="1" x14ac:dyDescent="0.2">
      <c r="B3" s="14"/>
      <c r="C3" s="14"/>
      <c r="D3" s="14"/>
      <c r="E3" s="14"/>
      <c r="F3" s="14"/>
      <c r="G3" s="14"/>
      <c r="H3" s="14"/>
    </row>
    <row r="4" spans="2:15" ht="26" customHeight="1" x14ac:dyDescent="0.2">
      <c r="B4" s="106" t="s">
        <v>450</v>
      </c>
      <c r="C4" s="106"/>
      <c r="D4" s="106"/>
      <c r="E4" s="106"/>
      <c r="F4" s="106"/>
      <c r="G4" s="106"/>
      <c r="H4" s="106"/>
      <c r="I4" s="106"/>
      <c r="J4" s="107"/>
      <c r="K4" s="107"/>
      <c r="L4" s="107"/>
      <c r="M4" s="107"/>
      <c r="N4" s="107"/>
      <c r="O4" s="107"/>
    </row>
    <row r="5" spans="2:15" ht="16" customHeight="1" x14ac:dyDescent="0.2">
      <c r="B5" s="107"/>
      <c r="C5" s="107"/>
      <c r="D5" s="107"/>
      <c r="E5" s="107"/>
      <c r="F5" s="107"/>
      <c r="G5" s="107"/>
      <c r="H5" s="107"/>
      <c r="I5" s="107"/>
      <c r="J5" s="107"/>
      <c r="K5" s="107"/>
      <c r="L5" s="107"/>
      <c r="M5" s="107"/>
      <c r="N5" s="107"/>
      <c r="O5" s="107"/>
    </row>
    <row r="6" spans="2:15" x14ac:dyDescent="0.2">
      <c r="B6" s="106" t="s">
        <v>451</v>
      </c>
      <c r="C6" s="106"/>
      <c r="D6" s="106"/>
      <c r="E6" s="106"/>
      <c r="F6" s="106"/>
      <c r="G6" s="106"/>
      <c r="H6" s="106"/>
      <c r="I6" s="106"/>
      <c r="J6" s="106"/>
      <c r="K6" s="106"/>
      <c r="L6" s="106"/>
      <c r="M6" s="106"/>
      <c r="N6" s="106"/>
      <c r="O6" s="106"/>
    </row>
    <row r="7" spans="2:15" ht="16" customHeight="1" x14ac:dyDescent="0.2">
      <c r="B7" s="108" t="s">
        <v>452</v>
      </c>
      <c r="C7" s="108"/>
      <c r="D7" s="108"/>
      <c r="E7" s="108"/>
      <c r="F7" s="108"/>
      <c r="G7" s="108"/>
      <c r="H7" s="108"/>
      <c r="I7" s="108"/>
      <c r="J7" s="108"/>
      <c r="K7" s="108"/>
      <c r="L7" s="108"/>
      <c r="M7" s="108"/>
      <c r="N7" s="108"/>
      <c r="O7" s="108"/>
    </row>
    <row r="8" spans="2:15" x14ac:dyDescent="0.2">
      <c r="B8" s="107"/>
      <c r="C8" s="107"/>
      <c r="D8" s="107"/>
      <c r="E8" s="107"/>
      <c r="F8" s="107"/>
      <c r="G8" s="107"/>
      <c r="H8" s="107"/>
      <c r="I8" s="107"/>
      <c r="J8" s="107"/>
      <c r="K8" s="107"/>
      <c r="L8" s="107"/>
      <c r="M8" s="107"/>
      <c r="N8" s="107"/>
      <c r="O8" s="107"/>
    </row>
    <row r="9" spans="2:15" x14ac:dyDescent="0.2">
      <c r="B9" s="106" t="s">
        <v>453</v>
      </c>
      <c r="C9" s="106"/>
      <c r="D9" s="106"/>
      <c r="E9" s="106"/>
      <c r="F9" s="106"/>
      <c r="G9" s="106"/>
      <c r="H9" s="106"/>
      <c r="I9" s="106"/>
      <c r="J9" s="106"/>
      <c r="K9" s="106"/>
      <c r="L9" s="106"/>
      <c r="M9" s="106"/>
      <c r="N9" s="106"/>
      <c r="O9" s="106"/>
    </row>
    <row r="10" spans="2:15" ht="16" customHeight="1" x14ac:dyDescent="0.2">
      <c r="B10" s="108" t="s">
        <v>454</v>
      </c>
      <c r="C10" s="108"/>
      <c r="D10" s="108"/>
      <c r="E10" s="108"/>
      <c r="F10" s="108"/>
      <c r="G10" s="108"/>
      <c r="H10" s="108"/>
      <c r="I10" s="108"/>
      <c r="J10" s="108"/>
      <c r="K10" s="108"/>
      <c r="L10" s="108"/>
      <c r="M10" s="108"/>
      <c r="N10" s="108"/>
      <c r="O10" s="108"/>
    </row>
    <row r="11" spans="2:15" ht="16" customHeight="1" x14ac:dyDescent="0.2">
      <c r="B11" s="107"/>
      <c r="C11" s="107"/>
      <c r="D11" s="107"/>
      <c r="E11" s="107"/>
      <c r="F11" s="107"/>
      <c r="G11" s="107"/>
      <c r="H11" s="107"/>
      <c r="I11" s="107"/>
      <c r="J11" s="107"/>
      <c r="K11" s="107"/>
      <c r="L11" s="107"/>
      <c r="M11" s="107"/>
      <c r="N11" s="107"/>
      <c r="O11" s="107"/>
    </row>
    <row r="12" spans="2:15" x14ac:dyDescent="0.2">
      <c r="B12" s="106" t="s">
        <v>455</v>
      </c>
      <c r="C12" s="106"/>
      <c r="D12" s="106"/>
      <c r="E12" s="106"/>
      <c r="F12" s="106"/>
      <c r="G12" s="106"/>
      <c r="H12" s="106"/>
      <c r="I12" s="106"/>
      <c r="J12" s="106"/>
      <c r="K12" s="106"/>
      <c r="L12" s="106"/>
      <c r="M12" s="106"/>
      <c r="N12" s="106"/>
      <c r="O12" s="106"/>
    </row>
    <row r="13" spans="2:15" ht="16" customHeight="1" x14ac:dyDescent="0.2">
      <c r="B13" s="108" t="s">
        <v>456</v>
      </c>
      <c r="C13" s="108"/>
      <c r="D13" s="108"/>
      <c r="E13" s="108"/>
      <c r="F13" s="108"/>
      <c r="G13" s="108"/>
      <c r="H13" s="108"/>
      <c r="I13" s="108"/>
      <c r="J13" s="108"/>
      <c r="K13" s="108"/>
      <c r="L13" s="108"/>
      <c r="M13" s="108"/>
      <c r="N13" s="108"/>
      <c r="O13" s="108"/>
    </row>
    <row r="14" spans="2:15" x14ac:dyDescent="0.2">
      <c r="B14" s="107"/>
      <c r="C14" s="107"/>
      <c r="D14" s="107"/>
      <c r="E14" s="107"/>
      <c r="F14" s="107"/>
      <c r="G14" s="107"/>
      <c r="H14" s="107"/>
      <c r="I14" s="107"/>
      <c r="J14" s="107"/>
      <c r="K14" s="107"/>
      <c r="L14" s="107"/>
      <c r="M14" s="107"/>
      <c r="N14" s="107"/>
      <c r="O14" s="107"/>
    </row>
    <row r="15" spans="2:15" x14ac:dyDescent="0.2">
      <c r="B15" s="106" t="s">
        <v>470</v>
      </c>
      <c r="C15" s="106"/>
      <c r="D15" s="106"/>
      <c r="E15" s="106"/>
      <c r="F15" s="106"/>
      <c r="G15" s="106"/>
      <c r="H15" s="106"/>
      <c r="I15" s="106"/>
      <c r="J15" s="106"/>
      <c r="K15" s="106"/>
      <c r="L15" s="106"/>
      <c r="M15" s="106"/>
      <c r="N15" s="106"/>
      <c r="O15" s="106"/>
    </row>
    <row r="16" spans="2:15" ht="61" customHeight="1" x14ac:dyDescent="0.2">
      <c r="B16" s="109" t="s">
        <v>471</v>
      </c>
      <c r="C16" s="110"/>
      <c r="D16" s="110"/>
      <c r="E16" s="110"/>
      <c r="F16" s="110"/>
      <c r="G16" s="110"/>
      <c r="H16" s="110"/>
      <c r="I16" s="110"/>
      <c r="J16" s="110"/>
      <c r="K16" s="110"/>
      <c r="L16" s="110"/>
      <c r="M16" s="110"/>
      <c r="N16" s="110"/>
      <c r="O16" s="110"/>
    </row>
    <row r="17" spans="2:15" ht="33" customHeight="1" x14ac:dyDescent="0.2">
      <c r="B17" s="111" t="s">
        <v>132</v>
      </c>
      <c r="C17" s="111" t="s">
        <v>458</v>
      </c>
      <c r="D17" s="111" t="s">
        <v>459</v>
      </c>
      <c r="E17" s="111" t="s">
        <v>457</v>
      </c>
      <c r="F17" s="112" t="s">
        <v>472</v>
      </c>
      <c r="G17" s="112" t="s">
        <v>472</v>
      </c>
      <c r="H17" s="112" t="s">
        <v>472</v>
      </c>
      <c r="I17" s="107"/>
      <c r="J17" s="107"/>
      <c r="K17" s="107"/>
      <c r="L17" s="107"/>
      <c r="M17" s="107"/>
      <c r="N17" s="107"/>
      <c r="O17" s="107"/>
    </row>
    <row r="18" spans="2:15" x14ac:dyDescent="0.2">
      <c r="B18" s="113" t="s">
        <v>460</v>
      </c>
      <c r="C18" s="113" t="s">
        <v>461</v>
      </c>
      <c r="D18" s="113" t="s">
        <v>461</v>
      </c>
      <c r="E18" s="114">
        <v>130</v>
      </c>
      <c r="F18" s="115">
        <f>E18/800</f>
        <v>0.16250000000000001</v>
      </c>
      <c r="G18" s="115">
        <f>(130/900)</f>
        <v>0.14444444444444443</v>
      </c>
      <c r="H18" s="115">
        <f>(130/970)</f>
        <v>0.13402061855670103</v>
      </c>
      <c r="I18" s="107"/>
      <c r="J18" s="107"/>
      <c r="K18" s="107"/>
      <c r="L18" s="107"/>
      <c r="M18" s="107"/>
      <c r="N18" s="107"/>
      <c r="O18" s="107"/>
    </row>
    <row r="19" spans="2:15" x14ac:dyDescent="0.2">
      <c r="B19" s="116" t="s">
        <v>286</v>
      </c>
      <c r="C19" s="116" t="s">
        <v>462</v>
      </c>
      <c r="D19" s="116" t="s">
        <v>463</v>
      </c>
      <c r="E19" s="117">
        <v>40</v>
      </c>
      <c r="F19" s="118">
        <f>(40*800)/800</f>
        <v>40</v>
      </c>
      <c r="G19" s="118">
        <f>(40*800)/900</f>
        <v>35.555555555555557</v>
      </c>
      <c r="H19" s="118">
        <f>(40*800)/970</f>
        <v>32.989690721649481</v>
      </c>
      <c r="I19" s="107"/>
      <c r="J19" s="107"/>
      <c r="K19" s="107"/>
      <c r="L19" s="107"/>
      <c r="M19" s="107"/>
      <c r="N19" s="107"/>
      <c r="O19" s="107"/>
    </row>
    <row r="20" spans="2:15" x14ac:dyDescent="0.2">
      <c r="B20" s="113" t="s">
        <v>464</v>
      </c>
      <c r="C20" s="113" t="s">
        <v>462</v>
      </c>
      <c r="D20" s="113" t="s">
        <v>465</v>
      </c>
      <c r="E20" s="119">
        <v>800</v>
      </c>
      <c r="F20" s="115">
        <f>(800*970)/800</f>
        <v>970</v>
      </c>
      <c r="G20" s="115">
        <f>(800*970)/900</f>
        <v>862.22222222222217</v>
      </c>
      <c r="H20" s="115">
        <f>(800*970)/970</f>
        <v>800</v>
      </c>
      <c r="I20" s="107"/>
      <c r="J20" s="107"/>
      <c r="K20" s="107"/>
      <c r="L20" s="107"/>
      <c r="M20" s="107"/>
      <c r="N20" s="107"/>
      <c r="O20" s="107"/>
    </row>
    <row r="21" spans="2:15" x14ac:dyDescent="0.2">
      <c r="B21" s="120" t="s">
        <v>466</v>
      </c>
      <c r="C21" s="120"/>
      <c r="D21" s="120"/>
      <c r="E21" s="121">
        <f>(E18/800)+E19+E20</f>
        <v>840.16250000000002</v>
      </c>
      <c r="F21" s="121">
        <f>SUM(F18:F20)</f>
        <v>1010.1625</v>
      </c>
      <c r="G21" s="121">
        <f>SUM(G18:G20)</f>
        <v>897.92222222222222</v>
      </c>
      <c r="H21" s="121">
        <f>SUM(H18:H20)</f>
        <v>833.12371134020623</v>
      </c>
      <c r="I21" s="107"/>
      <c r="J21" s="107"/>
      <c r="K21" s="107"/>
      <c r="L21" s="107"/>
      <c r="M21" s="107"/>
      <c r="N21" s="107"/>
      <c r="O21" s="107"/>
    </row>
    <row r="22" spans="2:15" x14ac:dyDescent="0.2">
      <c r="B22" s="107"/>
      <c r="C22" s="107"/>
      <c r="D22" s="107"/>
      <c r="E22" s="107"/>
      <c r="F22" s="107"/>
      <c r="G22" s="107"/>
      <c r="H22" s="107"/>
      <c r="I22" s="107"/>
      <c r="J22" s="107"/>
      <c r="K22" s="107"/>
      <c r="L22" s="107"/>
      <c r="M22" s="107"/>
      <c r="N22" s="107"/>
      <c r="O22" s="107"/>
    </row>
    <row r="23" spans="2:15" x14ac:dyDescent="0.2">
      <c r="B23" s="106" t="s">
        <v>473</v>
      </c>
      <c r="C23" s="59"/>
      <c r="D23" s="59"/>
      <c r="E23" s="59"/>
      <c r="F23" s="59"/>
      <c r="G23" s="59"/>
      <c r="H23" s="59"/>
      <c r="I23" s="59"/>
      <c r="J23" s="59"/>
      <c r="K23" s="59"/>
      <c r="L23" s="59"/>
      <c r="M23" s="59"/>
      <c r="N23" s="59"/>
      <c r="O23" s="59"/>
    </row>
    <row r="24" spans="2:15" x14ac:dyDescent="0.2">
      <c r="B24" s="108" t="s">
        <v>467</v>
      </c>
      <c r="C24" s="107"/>
      <c r="D24" s="107"/>
      <c r="E24" s="107"/>
      <c r="F24" s="107"/>
      <c r="G24" s="107"/>
      <c r="H24" s="107"/>
      <c r="I24" s="107"/>
      <c r="J24" s="107"/>
      <c r="K24" s="107"/>
      <c r="L24" s="107"/>
      <c r="M24" s="107"/>
      <c r="N24" s="107"/>
      <c r="O24" s="107"/>
    </row>
    <row r="25" spans="2:15" x14ac:dyDescent="0.2">
      <c r="B25" s="108" t="s">
        <v>468</v>
      </c>
      <c r="C25" s="107"/>
      <c r="D25" s="107"/>
      <c r="E25" s="107"/>
      <c r="F25" s="107"/>
      <c r="G25" s="107"/>
      <c r="H25" s="107"/>
      <c r="I25" s="107"/>
      <c r="J25" s="107"/>
      <c r="K25" s="107"/>
      <c r="L25" s="107"/>
      <c r="M25" s="107"/>
      <c r="N25" s="107"/>
      <c r="O25" s="107"/>
    </row>
    <row r="26" spans="2:15" x14ac:dyDescent="0.2">
      <c r="B26" s="108" t="s">
        <v>469</v>
      </c>
      <c r="C26" s="107"/>
      <c r="D26" s="107"/>
      <c r="E26" s="107"/>
      <c r="F26" s="107"/>
      <c r="G26" s="107"/>
      <c r="H26" s="107"/>
      <c r="I26" s="107"/>
      <c r="J26" s="107"/>
      <c r="K26" s="107"/>
      <c r="L26" s="107"/>
      <c r="M26" s="107"/>
      <c r="N26" s="107"/>
      <c r="O26" s="107"/>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election activeCell="K17" sqref="K17"/>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election activeCell="F1" sqref="F1"/>
    </sheetView>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76" t="s">
        <v>55</v>
      </c>
      <c r="O1" s="76"/>
    </row>
    <row r="2" spans="2:15" ht="40" customHeight="1" x14ac:dyDescent="0.2">
      <c r="B2" s="14"/>
      <c r="C2" s="14"/>
      <c r="D2" s="14"/>
      <c r="E2" s="14"/>
      <c r="F2" s="14"/>
      <c r="G2" s="14"/>
    </row>
    <row r="3" spans="2:15" ht="16" customHeight="1" x14ac:dyDescent="0.2">
      <c r="B3" s="14"/>
      <c r="C3" s="14"/>
      <c r="D3" s="14"/>
      <c r="E3" s="14"/>
      <c r="F3" s="14"/>
      <c r="G3" s="14"/>
    </row>
    <row r="4" spans="2:15" x14ac:dyDescent="0.2">
      <c r="B4" s="74" t="s">
        <v>136</v>
      </c>
      <c r="C4" s="75"/>
      <c r="D4" s="75"/>
      <c r="E4" s="75"/>
      <c r="F4" s="75"/>
      <c r="G4" s="75"/>
    </row>
    <row r="5" spans="2:15" x14ac:dyDescent="0.2">
      <c r="B5" s="75"/>
      <c r="C5" s="75"/>
      <c r="D5" s="75"/>
      <c r="E5" s="75"/>
      <c r="F5" s="75"/>
      <c r="G5" s="75"/>
    </row>
    <row r="6" spans="2:15" x14ac:dyDescent="0.2">
      <c r="B6" s="75"/>
      <c r="C6" s="75"/>
      <c r="D6" s="75"/>
      <c r="E6" s="75"/>
      <c r="F6" s="75"/>
      <c r="G6" s="75"/>
    </row>
    <row r="7" spans="2:15" x14ac:dyDescent="0.2">
      <c r="B7" s="75"/>
      <c r="C7" s="75"/>
      <c r="D7" s="75"/>
      <c r="E7" s="75"/>
      <c r="F7" s="75"/>
      <c r="G7" s="75"/>
    </row>
    <row r="8" spans="2:15" x14ac:dyDescent="0.2">
      <c r="B8" s="75"/>
      <c r="C8" s="75"/>
      <c r="D8" s="75"/>
      <c r="E8" s="75"/>
      <c r="F8" s="75"/>
      <c r="G8" s="75"/>
    </row>
    <row r="9" spans="2:15" x14ac:dyDescent="0.2">
      <c r="B9" s="75"/>
      <c r="C9" s="75"/>
      <c r="D9" s="75"/>
      <c r="E9" s="75"/>
      <c r="F9" s="75"/>
      <c r="G9" s="75"/>
    </row>
    <row r="10" spans="2:15" x14ac:dyDescent="0.2">
      <c r="B10" s="75"/>
      <c r="C10" s="75"/>
      <c r="D10" s="75"/>
      <c r="E10" s="75"/>
      <c r="F10" s="75"/>
      <c r="G10" s="75"/>
    </row>
    <row r="11" spans="2:15" x14ac:dyDescent="0.2">
      <c r="B11" s="75"/>
      <c r="C11" s="75"/>
      <c r="D11" s="75"/>
      <c r="E11" s="75"/>
      <c r="F11" s="75"/>
      <c r="G11" s="75"/>
    </row>
    <row r="12" spans="2:15" x14ac:dyDescent="0.2">
      <c r="B12" s="75"/>
      <c r="C12" s="75"/>
      <c r="D12" s="75"/>
      <c r="E12" s="75"/>
      <c r="F12" s="75"/>
      <c r="G12" s="75"/>
    </row>
    <row r="13" spans="2:15" x14ac:dyDescent="0.2">
      <c r="B13" s="75"/>
      <c r="C13" s="75"/>
      <c r="D13" s="75"/>
      <c r="E13" s="75"/>
      <c r="F13" s="75"/>
      <c r="G13" s="75"/>
    </row>
    <row r="14" spans="2:15" x14ac:dyDescent="0.2">
      <c r="B14" s="75"/>
      <c r="C14" s="75"/>
      <c r="D14" s="75"/>
      <c r="E14" s="75"/>
      <c r="F14" s="75"/>
      <c r="G14" s="75"/>
    </row>
    <row r="15" spans="2:15" x14ac:dyDescent="0.2">
      <c r="B15" s="75"/>
      <c r="C15" s="75"/>
      <c r="D15" s="75"/>
      <c r="E15" s="75"/>
      <c r="F15" s="75"/>
      <c r="G15" s="75"/>
    </row>
    <row r="16" spans="2:15" x14ac:dyDescent="0.2">
      <c r="B16" s="75"/>
      <c r="C16" s="75"/>
      <c r="D16" s="75"/>
      <c r="E16" s="75"/>
      <c r="F16" s="75"/>
      <c r="G16" s="75"/>
    </row>
    <row r="17" spans="2:7" x14ac:dyDescent="0.2">
      <c r="B17" s="75"/>
      <c r="C17" s="75"/>
      <c r="D17" s="75"/>
      <c r="E17" s="75"/>
      <c r="F17" s="75"/>
      <c r="G17" s="75"/>
    </row>
    <row r="18" spans="2:7" x14ac:dyDescent="0.2">
      <c r="B18" s="75"/>
      <c r="C18" s="75"/>
      <c r="D18" s="75"/>
      <c r="E18" s="75"/>
      <c r="F18" s="75"/>
      <c r="G18" s="75"/>
    </row>
    <row r="19" spans="2:7" x14ac:dyDescent="0.2">
      <c r="B19" s="75"/>
      <c r="C19" s="75"/>
      <c r="D19" s="75"/>
      <c r="E19" s="75"/>
      <c r="F19" s="75"/>
      <c r="G19" s="75"/>
    </row>
    <row r="20" spans="2:7" x14ac:dyDescent="0.2">
      <c r="B20" s="75"/>
      <c r="C20" s="75"/>
      <c r="D20" s="75"/>
      <c r="E20" s="75"/>
      <c r="F20" s="75"/>
      <c r="G20" s="75"/>
    </row>
    <row r="21" spans="2:7" x14ac:dyDescent="0.2">
      <c r="B21" s="75"/>
      <c r="C21" s="75"/>
      <c r="D21" s="75"/>
      <c r="E21" s="75"/>
      <c r="F21" s="75"/>
      <c r="G21" s="75"/>
    </row>
    <row r="22" spans="2:7" x14ac:dyDescent="0.2">
      <c r="B22" s="75"/>
      <c r="C22" s="75"/>
      <c r="D22" s="75"/>
      <c r="E22" s="75"/>
      <c r="F22" s="75"/>
      <c r="G22" s="75"/>
    </row>
    <row r="23" spans="2:7" x14ac:dyDescent="0.2">
      <c r="B23" s="75"/>
      <c r="C23" s="75"/>
      <c r="D23" s="75"/>
      <c r="E23" s="75"/>
      <c r="F23" s="75"/>
      <c r="G23" s="75"/>
    </row>
    <row r="24" spans="2:7" x14ac:dyDescent="0.2">
      <c r="B24" s="75"/>
      <c r="C24" s="75"/>
      <c r="D24" s="75"/>
      <c r="E24" s="75"/>
      <c r="F24" s="75"/>
      <c r="G24" s="75"/>
    </row>
    <row r="25" spans="2:7" x14ac:dyDescent="0.2">
      <c r="B25" s="75"/>
      <c r="C25" s="75"/>
      <c r="D25" s="75"/>
      <c r="E25" s="75"/>
      <c r="F25" s="75"/>
      <c r="G25" s="75"/>
    </row>
    <row r="26" spans="2:7" x14ac:dyDescent="0.2">
      <c r="B26" s="75"/>
      <c r="C26" s="75"/>
      <c r="D26" s="75"/>
      <c r="E26" s="75"/>
      <c r="F26" s="75"/>
      <c r="G26" s="75"/>
    </row>
    <row r="27" spans="2:7" x14ac:dyDescent="0.2">
      <c r="B27" s="75"/>
      <c r="C27" s="75"/>
      <c r="D27" s="75"/>
      <c r="E27" s="75"/>
      <c r="F27" s="75"/>
      <c r="G27" s="75"/>
    </row>
    <row r="28" spans="2:7" x14ac:dyDescent="0.2">
      <c r="B28" s="75"/>
      <c r="C28" s="75"/>
      <c r="D28" s="75"/>
      <c r="E28" s="75"/>
      <c r="F28" s="75"/>
      <c r="G28" s="75"/>
    </row>
    <row r="29" spans="2:7" x14ac:dyDescent="0.2">
      <c r="B29" s="75"/>
      <c r="C29" s="75"/>
      <c r="D29" s="75"/>
      <c r="E29" s="75"/>
      <c r="F29" s="75"/>
      <c r="G29" s="75"/>
    </row>
    <row r="30" spans="2:7" x14ac:dyDescent="0.2">
      <c r="B30" s="75"/>
      <c r="C30" s="75"/>
      <c r="D30" s="75"/>
      <c r="E30" s="75"/>
      <c r="F30" s="75"/>
      <c r="G30" s="75"/>
    </row>
    <row r="31" spans="2:7" x14ac:dyDescent="0.2">
      <c r="B31" s="75"/>
      <c r="C31" s="75"/>
      <c r="D31" s="75"/>
      <c r="E31" s="75"/>
      <c r="F31" s="75"/>
      <c r="G31" s="75"/>
    </row>
    <row r="32" spans="2:7" x14ac:dyDescent="0.2">
      <c r="B32" s="75"/>
      <c r="C32" s="75"/>
      <c r="D32" s="75"/>
      <c r="E32" s="75"/>
      <c r="F32" s="75"/>
      <c r="G32" s="75"/>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election activeCell="S10" sqref="S10"/>
    </sheetView>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62" t="s">
        <v>134</v>
      </c>
      <c r="L1" s="63"/>
      <c r="M1" s="61"/>
      <c r="N1" s="61"/>
      <c r="P1" s="20"/>
      <c r="Q1" s="79"/>
      <c r="R1" s="79"/>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78" t="s">
        <v>7</v>
      </c>
      <c r="B4" s="78"/>
      <c r="C4" s="78"/>
      <c r="D4" s="78"/>
      <c r="E4" s="78"/>
      <c r="F4" s="78"/>
      <c r="G4" s="78"/>
      <c r="H4" s="78"/>
      <c r="I4" s="78"/>
      <c r="J4" s="78"/>
    </row>
    <row r="5" spans="1:18" ht="18" customHeight="1" x14ac:dyDescent="0.2">
      <c r="A5" s="12" t="s">
        <v>2</v>
      </c>
      <c r="B5" s="77" t="s">
        <v>8</v>
      </c>
      <c r="C5" s="77"/>
      <c r="D5" s="77"/>
      <c r="E5" s="77"/>
      <c r="F5" s="77"/>
      <c r="G5" s="77"/>
      <c r="H5" s="77"/>
      <c r="I5" s="77"/>
      <c r="J5" s="77"/>
    </row>
    <row r="6" spans="1:18" ht="18" customHeight="1" x14ac:dyDescent="0.2">
      <c r="A6" s="12" t="s">
        <v>2</v>
      </c>
      <c r="B6" s="77" t="s">
        <v>9</v>
      </c>
      <c r="C6" s="77"/>
      <c r="D6" s="77"/>
      <c r="E6" s="77"/>
      <c r="F6" s="77"/>
      <c r="G6" s="77"/>
      <c r="H6" s="77"/>
      <c r="I6" s="77"/>
      <c r="J6" s="77"/>
    </row>
    <row r="7" spans="1:18" ht="18" customHeight="1" x14ac:dyDescent="0.2">
      <c r="A7" s="12" t="s">
        <v>2</v>
      </c>
      <c r="B7" s="77" t="s">
        <v>10</v>
      </c>
      <c r="C7" s="77"/>
      <c r="D7" s="77"/>
      <c r="E7" s="77"/>
      <c r="F7" s="77"/>
      <c r="G7" s="77"/>
      <c r="H7" s="77"/>
      <c r="I7" s="77"/>
      <c r="J7" s="77"/>
    </row>
    <row r="8" spans="1:18" ht="18" customHeight="1" x14ac:dyDescent="0.2">
      <c r="A8" s="12" t="s">
        <v>2</v>
      </c>
      <c r="B8" s="77" t="s">
        <v>11</v>
      </c>
      <c r="C8" s="77"/>
      <c r="D8" s="77"/>
      <c r="E8" s="77"/>
      <c r="F8" s="77"/>
      <c r="G8" s="77"/>
      <c r="H8" s="77"/>
      <c r="I8" s="77"/>
      <c r="J8" s="77"/>
    </row>
    <row r="9" spans="1:18" ht="18" customHeight="1" x14ac:dyDescent="0.2">
      <c r="A9" s="12" t="s">
        <v>2</v>
      </c>
      <c r="B9" s="77" t="s">
        <v>12</v>
      </c>
      <c r="C9" s="77"/>
      <c r="D9" s="77"/>
      <c r="E9" s="77"/>
      <c r="F9" s="77"/>
      <c r="G9" s="77"/>
      <c r="H9" s="77"/>
      <c r="I9" s="77"/>
      <c r="J9" s="77"/>
    </row>
    <row r="10" spans="1:18" ht="18" customHeight="1" x14ac:dyDescent="0.2">
      <c r="A10" s="12" t="s">
        <v>2</v>
      </c>
      <c r="B10" s="77" t="s">
        <v>13</v>
      </c>
      <c r="C10" s="77"/>
      <c r="D10" s="77"/>
      <c r="E10" s="77"/>
      <c r="F10" s="77"/>
      <c r="G10" s="77"/>
      <c r="H10" s="77"/>
      <c r="I10" s="77"/>
      <c r="J10" s="77"/>
    </row>
    <row r="11" spans="1:18" ht="18" customHeight="1" x14ac:dyDescent="0.2">
      <c r="A11" s="12" t="s">
        <v>2</v>
      </c>
      <c r="B11" s="77" t="s">
        <v>14</v>
      </c>
      <c r="C11" s="77"/>
      <c r="D11" s="77"/>
      <c r="E11" s="77"/>
      <c r="F11" s="77"/>
      <c r="G11" s="77"/>
      <c r="H11" s="77"/>
      <c r="I11" s="77"/>
      <c r="J11" s="77"/>
      <c r="K11" s="77"/>
      <c r="L11" s="77"/>
      <c r="M11" s="77"/>
    </row>
    <row r="12" spans="1:18" ht="18" customHeight="1" x14ac:dyDescent="0.2">
      <c r="A12" s="12" t="s">
        <v>2</v>
      </c>
      <c r="B12" s="77" t="s">
        <v>15</v>
      </c>
      <c r="C12" s="77"/>
      <c r="D12" s="77"/>
      <c r="E12" s="77"/>
      <c r="F12" s="77"/>
      <c r="G12" s="77"/>
      <c r="H12" s="77"/>
      <c r="I12" s="77"/>
      <c r="J12" s="77"/>
    </row>
    <row r="13" spans="1:18" ht="18" customHeight="1" x14ac:dyDescent="0.2">
      <c r="A13" s="12" t="s">
        <v>2</v>
      </c>
      <c r="B13" s="77" t="s">
        <v>16</v>
      </c>
      <c r="C13" s="77"/>
      <c r="D13" s="77"/>
      <c r="E13" s="77"/>
      <c r="F13" s="77"/>
      <c r="G13" s="77"/>
      <c r="H13" s="77"/>
      <c r="I13" s="77"/>
      <c r="J13" s="77"/>
    </row>
    <row r="14" spans="1:18" ht="16" customHeight="1" x14ac:dyDescent="0.2">
      <c r="A14" s="12"/>
      <c r="B14" s="13"/>
      <c r="C14" s="13"/>
      <c r="D14" s="13"/>
      <c r="E14" s="13"/>
      <c r="F14" s="13"/>
      <c r="G14" s="13"/>
      <c r="H14" s="13"/>
      <c r="I14" s="13"/>
      <c r="J14" s="13"/>
    </row>
    <row r="15" spans="1:18" ht="16" customHeight="1" x14ac:dyDescent="0.2">
      <c r="A15" s="78" t="s">
        <v>17</v>
      </c>
      <c r="B15" s="78"/>
      <c r="C15" s="78"/>
      <c r="D15" s="78"/>
      <c r="E15" s="78"/>
      <c r="F15" s="78"/>
      <c r="G15" s="78"/>
      <c r="H15" s="78"/>
      <c r="I15" s="78"/>
      <c r="J15" s="78"/>
    </row>
    <row r="16" spans="1:18" ht="18" customHeight="1" x14ac:dyDescent="0.2">
      <c r="A16" s="12" t="s">
        <v>2</v>
      </c>
      <c r="B16" s="77" t="s">
        <v>56</v>
      </c>
      <c r="C16" s="77"/>
      <c r="D16" s="77"/>
      <c r="E16" s="77"/>
      <c r="F16" s="77"/>
      <c r="G16" s="77"/>
      <c r="H16" s="77"/>
      <c r="I16" s="77"/>
      <c r="J16" s="77"/>
    </row>
    <row r="17" spans="1:19" s="10" customFormat="1" ht="36" customHeight="1" x14ac:dyDescent="0.2">
      <c r="A17" s="34" t="s">
        <v>2</v>
      </c>
      <c r="B17" s="77" t="s">
        <v>18</v>
      </c>
      <c r="C17" s="77"/>
      <c r="D17" s="77"/>
      <c r="E17" s="77"/>
      <c r="F17" s="77"/>
      <c r="G17" s="77"/>
      <c r="H17" s="77"/>
      <c r="I17" s="77"/>
      <c r="J17" s="77"/>
      <c r="K17" s="77"/>
      <c r="L17" s="77"/>
      <c r="M17" s="77"/>
      <c r="N17" s="77"/>
      <c r="O17" s="28"/>
      <c r="P17" s="28"/>
    </row>
    <row r="18" spans="1:19" ht="36" customHeight="1" x14ac:dyDescent="0.2">
      <c r="A18" s="34" t="s">
        <v>2</v>
      </c>
      <c r="B18" s="77" t="s">
        <v>19</v>
      </c>
      <c r="C18" s="77"/>
      <c r="D18" s="77"/>
      <c r="E18" s="77"/>
      <c r="F18" s="77"/>
      <c r="G18" s="77"/>
      <c r="H18" s="77"/>
      <c r="I18" s="77"/>
      <c r="J18" s="77"/>
      <c r="K18" s="77"/>
      <c r="L18" s="77"/>
      <c r="M18" s="77"/>
      <c r="N18" s="77"/>
      <c r="O18" s="33"/>
      <c r="P18" s="33"/>
      <c r="Q18" s="33"/>
      <c r="R18" s="33"/>
      <c r="S18" s="33"/>
    </row>
    <row r="19" spans="1:19" ht="18" customHeight="1" x14ac:dyDescent="0.2">
      <c r="A19" s="12" t="s">
        <v>2</v>
      </c>
      <c r="B19" s="77" t="s">
        <v>20</v>
      </c>
      <c r="C19" s="77"/>
      <c r="D19" s="77"/>
      <c r="E19" s="77"/>
      <c r="F19" s="77"/>
      <c r="G19" s="77"/>
      <c r="H19" s="77"/>
      <c r="I19" s="77"/>
      <c r="J19" s="77"/>
    </row>
    <row r="20" spans="1:19" ht="18" customHeight="1" x14ac:dyDescent="0.2">
      <c r="A20" s="12" t="s">
        <v>2</v>
      </c>
      <c r="B20" s="77" t="s">
        <v>21</v>
      </c>
      <c r="C20" s="77"/>
      <c r="D20" s="77"/>
      <c r="E20" s="77"/>
      <c r="F20" s="77"/>
      <c r="G20" s="77"/>
      <c r="H20" s="77"/>
      <c r="I20" s="77"/>
      <c r="J20" s="77"/>
      <c r="K20" s="77"/>
      <c r="L20" s="77"/>
      <c r="M20" s="77"/>
    </row>
    <row r="21" spans="1:19" ht="18" customHeight="1" x14ac:dyDescent="0.2">
      <c r="A21" s="12" t="s">
        <v>2</v>
      </c>
      <c r="B21" s="77" t="s">
        <v>22</v>
      </c>
      <c r="C21" s="77"/>
      <c r="D21" s="77"/>
      <c r="E21" s="77"/>
      <c r="F21" s="77"/>
      <c r="G21" s="77"/>
      <c r="H21" s="77"/>
      <c r="I21" s="77"/>
      <c r="J21" s="77"/>
    </row>
    <row r="22" spans="1:19" ht="18" customHeight="1" x14ac:dyDescent="0.2">
      <c r="A22" s="12" t="s">
        <v>2</v>
      </c>
      <c r="B22" s="77" t="s">
        <v>23</v>
      </c>
      <c r="C22" s="77"/>
      <c r="D22" s="77"/>
      <c r="E22" s="77"/>
      <c r="F22" s="77"/>
      <c r="G22" s="77"/>
      <c r="H22" s="77"/>
      <c r="I22" s="77"/>
      <c r="J22" s="77"/>
      <c r="K22" s="77"/>
    </row>
    <row r="23" spans="1:19" ht="18" customHeight="1" x14ac:dyDescent="0.2">
      <c r="A23" s="12" t="s">
        <v>2</v>
      </c>
      <c r="B23" s="77" t="s">
        <v>92</v>
      </c>
      <c r="C23" s="77"/>
      <c r="D23" s="77"/>
      <c r="E23" s="77"/>
      <c r="F23" s="77"/>
      <c r="G23" s="77"/>
      <c r="H23" s="77"/>
      <c r="I23" s="77"/>
      <c r="J23" s="77"/>
    </row>
    <row r="24" spans="1:19" ht="18" customHeight="1" x14ac:dyDescent="0.2">
      <c r="A24" s="12" t="s">
        <v>2</v>
      </c>
      <c r="B24" s="77" t="s">
        <v>24</v>
      </c>
      <c r="C24" s="77"/>
      <c r="D24" s="77"/>
      <c r="E24" s="77"/>
      <c r="F24" s="77"/>
      <c r="G24" s="77"/>
      <c r="H24" s="77"/>
      <c r="I24" s="77"/>
      <c r="J24" s="77"/>
    </row>
    <row r="25" spans="1:19" ht="16" customHeight="1" x14ac:dyDescent="0.2">
      <c r="A25" s="12"/>
      <c r="B25" s="13"/>
      <c r="C25" s="13"/>
      <c r="D25" s="13"/>
      <c r="E25" s="13"/>
      <c r="F25" s="13"/>
      <c r="G25" s="13"/>
      <c r="H25" s="13"/>
      <c r="I25" s="13"/>
      <c r="J25" s="13"/>
    </row>
    <row r="26" spans="1:19" ht="16" customHeight="1" x14ac:dyDescent="0.2">
      <c r="A26" s="78" t="s">
        <v>25</v>
      </c>
      <c r="B26" s="78"/>
      <c r="C26" s="78"/>
      <c r="D26" s="78"/>
      <c r="E26" s="78"/>
      <c r="F26" s="78"/>
      <c r="G26" s="78"/>
      <c r="H26" s="78"/>
      <c r="I26" s="78"/>
      <c r="J26" s="78"/>
    </row>
    <row r="27" spans="1:19" ht="18" customHeight="1" x14ac:dyDescent="0.2">
      <c r="A27" s="12" t="s">
        <v>2</v>
      </c>
      <c r="B27" s="77" t="s">
        <v>26</v>
      </c>
      <c r="C27" s="77"/>
      <c r="D27" s="77"/>
      <c r="E27" s="77"/>
      <c r="F27" s="77"/>
      <c r="G27" s="77"/>
      <c r="H27" s="77"/>
      <c r="I27" s="77"/>
      <c r="J27" s="77"/>
    </row>
    <row r="28" spans="1:19" ht="18" customHeight="1" x14ac:dyDescent="0.2">
      <c r="A28" s="12" t="s">
        <v>2</v>
      </c>
      <c r="B28" s="77" t="s">
        <v>27</v>
      </c>
      <c r="C28" s="77"/>
      <c r="D28" s="77"/>
      <c r="E28" s="77"/>
      <c r="F28" s="77"/>
      <c r="G28" s="77"/>
      <c r="H28" s="77"/>
      <c r="I28" s="77"/>
      <c r="J28" s="77"/>
      <c r="K28" s="77"/>
      <c r="L28" s="77"/>
      <c r="M28" s="77"/>
      <c r="N28" s="77"/>
      <c r="O28" s="77"/>
      <c r="P28" s="77"/>
      <c r="Q28" s="10"/>
      <c r="R28" s="10"/>
      <c r="S28" s="10"/>
    </row>
    <row r="29" spans="1:19" ht="18" customHeight="1" x14ac:dyDescent="0.2">
      <c r="A29" s="12" t="s">
        <v>2</v>
      </c>
      <c r="B29" s="77" t="s">
        <v>28</v>
      </c>
      <c r="C29" s="77"/>
      <c r="D29" s="77"/>
      <c r="E29" s="77"/>
      <c r="F29" s="77"/>
      <c r="G29" s="77"/>
      <c r="H29" s="77"/>
      <c r="I29" s="77"/>
      <c r="J29" s="77"/>
      <c r="K29" s="77"/>
      <c r="L29" s="77"/>
      <c r="M29" s="77"/>
      <c r="N29" s="77"/>
      <c r="O29" s="77"/>
      <c r="P29" s="77"/>
      <c r="Q29" s="77"/>
      <c r="R29" s="77"/>
      <c r="S29" s="77"/>
    </row>
    <row r="30" spans="1:19" ht="18" customHeight="1" x14ac:dyDescent="0.2">
      <c r="A30" s="12" t="s">
        <v>2</v>
      </c>
      <c r="B30" s="77" t="s">
        <v>29</v>
      </c>
      <c r="C30" s="77"/>
      <c r="D30" s="77"/>
      <c r="E30" s="77"/>
      <c r="F30" s="77"/>
      <c r="G30" s="77"/>
      <c r="H30" s="77"/>
      <c r="I30" s="77"/>
      <c r="J30" s="77"/>
    </row>
    <row r="31" spans="1:19" ht="18" customHeight="1" x14ac:dyDescent="0.2">
      <c r="A31" s="12" t="s">
        <v>2</v>
      </c>
      <c r="B31" s="77" t="s">
        <v>30</v>
      </c>
      <c r="C31" s="77"/>
      <c r="D31" s="77"/>
      <c r="E31" s="77"/>
      <c r="F31" s="77"/>
      <c r="G31" s="77"/>
      <c r="H31" s="77"/>
      <c r="I31" s="77"/>
      <c r="J31" s="77"/>
    </row>
    <row r="32" spans="1:19" ht="18" customHeight="1" x14ac:dyDescent="0.2">
      <c r="A32" s="12" t="s">
        <v>2</v>
      </c>
      <c r="B32" s="77" t="s">
        <v>31</v>
      </c>
      <c r="C32" s="77"/>
      <c r="D32" s="77"/>
      <c r="E32" s="77"/>
      <c r="F32" s="77"/>
      <c r="G32" s="77"/>
      <c r="H32" s="77"/>
      <c r="I32" s="77"/>
      <c r="J32" s="77"/>
    </row>
    <row r="33" spans="1:19" ht="16" customHeight="1" x14ac:dyDescent="0.2">
      <c r="A33" s="12"/>
      <c r="B33" s="77"/>
      <c r="C33" s="77"/>
      <c r="D33" s="77"/>
      <c r="E33" s="77"/>
      <c r="F33" s="77"/>
      <c r="G33" s="77"/>
      <c r="H33" s="77"/>
      <c r="I33" s="77"/>
      <c r="J33" s="77"/>
      <c r="K33" s="77"/>
    </row>
    <row r="34" spans="1:19" ht="16" customHeight="1" x14ac:dyDescent="0.2">
      <c r="A34" s="78" t="s">
        <v>32</v>
      </c>
      <c r="B34" s="78"/>
      <c r="C34" s="78"/>
      <c r="D34" s="78"/>
      <c r="E34" s="78"/>
      <c r="F34" s="78"/>
      <c r="G34" s="78"/>
      <c r="H34" s="78"/>
      <c r="I34" s="78"/>
      <c r="J34" s="78"/>
    </row>
    <row r="35" spans="1:19" ht="18" customHeight="1" x14ac:dyDescent="0.2">
      <c r="A35" s="12" t="s">
        <v>2</v>
      </c>
      <c r="B35" s="77" t="s">
        <v>33</v>
      </c>
      <c r="C35" s="77"/>
      <c r="D35" s="77"/>
      <c r="E35" s="77"/>
      <c r="F35" s="77"/>
      <c r="G35" s="77"/>
      <c r="H35" s="77"/>
      <c r="I35" s="77"/>
      <c r="J35" s="77"/>
    </row>
    <row r="36" spans="1:19" ht="18" customHeight="1" x14ac:dyDescent="0.2">
      <c r="A36" s="12" t="s">
        <v>2</v>
      </c>
      <c r="B36" s="77" t="s">
        <v>34</v>
      </c>
      <c r="C36" s="77"/>
      <c r="D36" s="77"/>
      <c r="E36" s="77"/>
      <c r="F36" s="77"/>
      <c r="G36" s="77"/>
      <c r="H36" s="77"/>
      <c r="I36" s="77"/>
      <c r="J36" s="77"/>
      <c r="K36" s="77"/>
      <c r="L36" s="77"/>
      <c r="M36" s="77"/>
      <c r="N36" s="77"/>
      <c r="O36" s="77"/>
      <c r="P36" s="77"/>
      <c r="Q36" s="10"/>
      <c r="R36" s="10"/>
      <c r="S36" s="10"/>
    </row>
    <row r="37" spans="1:19" ht="18" customHeight="1" x14ac:dyDescent="0.2">
      <c r="A37" s="12" t="s">
        <v>2</v>
      </c>
      <c r="B37" s="77" t="s">
        <v>35</v>
      </c>
      <c r="C37" s="77"/>
      <c r="D37" s="77"/>
      <c r="E37" s="77"/>
      <c r="F37" s="77"/>
      <c r="G37" s="77"/>
      <c r="H37" s="77"/>
      <c r="I37" s="77"/>
      <c r="J37" s="77"/>
      <c r="K37" s="77"/>
      <c r="L37" s="77"/>
      <c r="M37" s="77"/>
      <c r="N37" s="77"/>
      <c r="O37" s="77"/>
      <c r="P37" s="77"/>
      <c r="Q37" s="77"/>
      <c r="R37" s="77"/>
      <c r="S37" s="77"/>
    </row>
    <row r="38" spans="1:19" ht="36" customHeight="1" x14ac:dyDescent="0.2">
      <c r="A38" s="34" t="s">
        <v>2</v>
      </c>
      <c r="B38" s="77" t="s">
        <v>137</v>
      </c>
      <c r="C38" s="77"/>
      <c r="D38" s="77"/>
      <c r="E38" s="77"/>
      <c r="F38" s="77"/>
      <c r="G38" s="77"/>
      <c r="H38" s="77"/>
      <c r="I38" s="77"/>
      <c r="J38" s="77"/>
      <c r="K38" s="77"/>
      <c r="L38" s="77"/>
      <c r="M38" s="77"/>
      <c r="N38" s="77"/>
      <c r="O38" s="33"/>
      <c r="P38" s="33"/>
      <c r="Q38" s="33"/>
      <c r="R38" s="33"/>
    </row>
    <row r="39" spans="1:19" ht="18" customHeight="1" x14ac:dyDescent="0.2">
      <c r="A39" s="12" t="s">
        <v>2</v>
      </c>
      <c r="B39" s="77" t="s">
        <v>36</v>
      </c>
      <c r="C39" s="77"/>
      <c r="D39" s="77"/>
      <c r="E39" s="77"/>
      <c r="F39" s="77"/>
      <c r="G39" s="77"/>
      <c r="H39" s="77"/>
      <c r="I39" s="77"/>
      <c r="J39" s="77"/>
    </row>
    <row r="40" spans="1:19" ht="18" customHeight="1" x14ac:dyDescent="0.2">
      <c r="A40" s="12" t="s">
        <v>2</v>
      </c>
      <c r="B40" s="77" t="s">
        <v>58</v>
      </c>
      <c r="C40" s="77"/>
      <c r="D40" s="77"/>
      <c r="E40" s="77"/>
      <c r="F40" s="77"/>
      <c r="G40" s="77"/>
      <c r="H40" s="77"/>
      <c r="I40" s="77"/>
      <c r="J40" s="77"/>
      <c r="K40" s="77"/>
      <c r="L40" s="77"/>
      <c r="M40" s="77"/>
    </row>
    <row r="41" spans="1:19" ht="18" customHeight="1" x14ac:dyDescent="0.2">
      <c r="A41" s="12" t="s">
        <v>2</v>
      </c>
      <c r="B41" s="77" t="s">
        <v>37</v>
      </c>
      <c r="C41" s="77"/>
      <c r="D41" s="77"/>
      <c r="E41" s="77"/>
      <c r="F41" s="77"/>
      <c r="G41" s="77"/>
      <c r="H41" s="77"/>
      <c r="I41" s="77"/>
      <c r="J41" s="77"/>
      <c r="K41" s="77"/>
    </row>
    <row r="42" spans="1:19" ht="18" customHeight="1" x14ac:dyDescent="0.2">
      <c r="A42" s="12" t="s">
        <v>2</v>
      </c>
      <c r="B42" s="77" t="s">
        <v>38</v>
      </c>
      <c r="C42" s="77"/>
      <c r="D42" s="77"/>
      <c r="E42" s="77"/>
      <c r="F42" s="77"/>
      <c r="G42" s="77"/>
      <c r="H42" s="77"/>
      <c r="I42" s="77"/>
      <c r="J42" s="77"/>
    </row>
    <row r="43" spans="1:19" ht="18" customHeight="1" x14ac:dyDescent="0.2">
      <c r="A43" s="12" t="s">
        <v>2</v>
      </c>
      <c r="B43" s="77" t="s">
        <v>39</v>
      </c>
      <c r="C43" s="77"/>
      <c r="D43" s="77"/>
      <c r="E43" s="77"/>
      <c r="F43" s="77"/>
      <c r="G43" s="77"/>
      <c r="H43" s="77"/>
      <c r="I43" s="77"/>
      <c r="J43" s="77"/>
    </row>
    <row r="44" spans="1:19" ht="18" customHeight="1" x14ac:dyDescent="0.2">
      <c r="A44" s="12" t="s">
        <v>2</v>
      </c>
      <c r="B44" s="77" t="s">
        <v>40</v>
      </c>
      <c r="C44" s="77"/>
      <c r="D44" s="77"/>
      <c r="E44" s="77"/>
      <c r="F44" s="77"/>
      <c r="G44" s="77"/>
      <c r="H44" s="77"/>
      <c r="I44" s="77"/>
      <c r="J44" s="77"/>
    </row>
    <row r="45" spans="1:19" ht="16" customHeight="1" x14ac:dyDescent="0.2"/>
    <row r="46" spans="1:19" ht="16" customHeight="1" x14ac:dyDescent="0.2">
      <c r="A46" s="78" t="s">
        <v>41</v>
      </c>
      <c r="B46" s="78"/>
      <c r="C46" s="78"/>
      <c r="D46" s="78"/>
      <c r="E46" s="78"/>
      <c r="F46" s="78"/>
      <c r="G46" s="78"/>
      <c r="H46" s="78"/>
      <c r="I46" s="78"/>
      <c r="J46" s="78"/>
    </row>
    <row r="47" spans="1:19" ht="18" customHeight="1" x14ac:dyDescent="0.2">
      <c r="A47" s="12" t="s">
        <v>2</v>
      </c>
      <c r="B47" s="77" t="s">
        <v>42</v>
      </c>
      <c r="C47" s="77"/>
      <c r="D47" s="77"/>
      <c r="E47" s="77"/>
      <c r="F47" s="77"/>
      <c r="G47" s="77"/>
      <c r="H47" s="77"/>
      <c r="I47" s="77"/>
      <c r="J47" s="77"/>
    </row>
    <row r="48" spans="1:19" ht="18" customHeight="1" x14ac:dyDescent="0.2">
      <c r="A48" s="12" t="s">
        <v>2</v>
      </c>
      <c r="B48" s="77" t="s">
        <v>43</v>
      </c>
      <c r="C48" s="77"/>
      <c r="D48" s="77"/>
      <c r="E48" s="77"/>
      <c r="F48" s="77"/>
      <c r="G48" s="77"/>
      <c r="H48" s="77"/>
      <c r="I48" s="77"/>
      <c r="J48" s="77"/>
      <c r="K48" s="77"/>
      <c r="L48" s="77"/>
      <c r="M48" s="77"/>
      <c r="N48" s="77"/>
      <c r="O48" s="77"/>
      <c r="P48" s="77"/>
      <c r="Q48" s="10"/>
      <c r="R48" s="10"/>
      <c r="S48" s="10"/>
    </row>
    <row r="49" spans="1:19" ht="18" customHeight="1" x14ac:dyDescent="0.2">
      <c r="A49" s="12" t="s">
        <v>2</v>
      </c>
      <c r="B49" s="77" t="s">
        <v>138</v>
      </c>
      <c r="C49" s="77"/>
      <c r="D49" s="77"/>
      <c r="E49" s="77"/>
      <c r="F49" s="77"/>
      <c r="G49" s="77"/>
      <c r="H49" s="77"/>
      <c r="I49" s="77"/>
      <c r="J49" s="77"/>
      <c r="K49" s="77"/>
      <c r="L49" s="77"/>
      <c r="M49" s="77"/>
      <c r="N49" s="77"/>
      <c r="O49" s="77"/>
      <c r="P49" s="77"/>
      <c r="Q49" s="77"/>
      <c r="R49" s="77"/>
      <c r="S49" s="77"/>
    </row>
    <row r="50" spans="1:19" ht="18" customHeight="1" x14ac:dyDescent="0.2">
      <c r="A50" s="12" t="s">
        <v>2</v>
      </c>
      <c r="B50" s="77" t="s">
        <v>44</v>
      </c>
      <c r="C50" s="77"/>
      <c r="D50" s="77"/>
      <c r="E50" s="77"/>
      <c r="F50" s="77"/>
      <c r="G50" s="77"/>
      <c r="H50" s="77"/>
      <c r="I50" s="77"/>
      <c r="J50" s="77"/>
      <c r="K50" s="77"/>
      <c r="L50" s="77"/>
      <c r="M50" s="77"/>
      <c r="N50" s="77"/>
      <c r="O50" s="77"/>
      <c r="P50" s="77"/>
      <c r="Q50" s="77"/>
      <c r="R50" s="77"/>
    </row>
    <row r="51" spans="1:19" ht="18" customHeight="1" x14ac:dyDescent="0.2">
      <c r="A51" s="12" t="s">
        <v>2</v>
      </c>
      <c r="B51" s="77" t="s">
        <v>45</v>
      </c>
      <c r="C51" s="77"/>
      <c r="D51" s="77"/>
      <c r="E51" s="77"/>
      <c r="F51" s="77"/>
      <c r="G51" s="77"/>
      <c r="H51" s="77"/>
      <c r="I51" s="77"/>
      <c r="J51" s="77"/>
    </row>
    <row r="52" spans="1:19" ht="16" customHeight="1" x14ac:dyDescent="0.2">
      <c r="A52" s="12"/>
      <c r="B52" s="77"/>
      <c r="C52" s="77"/>
      <c r="D52" s="77"/>
      <c r="E52" s="77"/>
      <c r="F52" s="77"/>
      <c r="G52" s="77"/>
      <c r="H52" s="77"/>
      <c r="I52" s="77"/>
      <c r="J52" s="77"/>
    </row>
    <row r="53" spans="1:19" ht="16" customHeight="1" x14ac:dyDescent="0.2">
      <c r="A53" s="78" t="s">
        <v>46</v>
      </c>
      <c r="B53" s="78"/>
      <c r="C53" s="78"/>
      <c r="D53" s="78"/>
      <c r="E53" s="78"/>
      <c r="F53" s="78"/>
      <c r="G53" s="78"/>
      <c r="H53" s="78"/>
      <c r="I53" s="78"/>
      <c r="J53" s="78"/>
    </row>
    <row r="54" spans="1:19" ht="18" customHeight="1" x14ac:dyDescent="0.2">
      <c r="A54" s="12" t="s">
        <v>2</v>
      </c>
      <c r="B54" s="77" t="s">
        <v>57</v>
      </c>
      <c r="C54" s="77"/>
      <c r="D54" s="77"/>
      <c r="E54" s="77"/>
      <c r="F54" s="77"/>
      <c r="G54" s="77"/>
      <c r="H54" s="77"/>
      <c r="I54" s="77"/>
      <c r="J54" s="77"/>
      <c r="K54" s="77"/>
      <c r="L54" s="77"/>
    </row>
    <row r="55" spans="1:19" ht="16" customHeight="1" x14ac:dyDescent="0.2"/>
    <row r="56" spans="1:19" ht="16" customHeight="1" x14ac:dyDescent="0.2">
      <c r="A56" s="78" t="s">
        <v>47</v>
      </c>
      <c r="B56" s="78"/>
      <c r="C56" s="78"/>
      <c r="D56" s="78"/>
      <c r="E56" s="78"/>
      <c r="F56" s="78"/>
      <c r="G56" s="78"/>
      <c r="H56" s="78"/>
      <c r="I56" s="78"/>
      <c r="J56" s="78"/>
    </row>
    <row r="57" spans="1:19" ht="18" customHeight="1" x14ac:dyDescent="0.2">
      <c r="A57" s="12" t="s">
        <v>2</v>
      </c>
      <c r="B57" s="77" t="s">
        <v>48</v>
      </c>
      <c r="C57" s="77"/>
      <c r="D57" s="77"/>
      <c r="E57" s="77"/>
      <c r="F57" s="77"/>
      <c r="G57" s="77"/>
      <c r="H57" s="77"/>
      <c r="I57" s="77"/>
      <c r="J57" s="77"/>
    </row>
    <row r="58" spans="1:19" ht="18" customHeight="1" x14ac:dyDescent="0.2">
      <c r="A58" s="12" t="s">
        <v>2</v>
      </c>
      <c r="B58" s="77" t="s">
        <v>49</v>
      </c>
      <c r="C58" s="77"/>
      <c r="D58" s="77"/>
      <c r="E58" s="77"/>
      <c r="F58" s="77"/>
      <c r="G58" s="77"/>
      <c r="H58" s="77"/>
      <c r="I58" s="77"/>
      <c r="J58" s="77"/>
      <c r="K58" s="77"/>
      <c r="L58" s="77"/>
      <c r="M58" s="77"/>
      <c r="N58" s="77"/>
      <c r="O58" s="77"/>
      <c r="P58" s="77"/>
      <c r="Q58" s="10"/>
      <c r="R58" s="10"/>
      <c r="S58" s="10"/>
    </row>
    <row r="59" spans="1:19" ht="16" customHeight="1" x14ac:dyDescent="0.2"/>
    <row r="60" spans="1:19" ht="16" customHeight="1" x14ac:dyDescent="0.2">
      <c r="A60" s="78" t="s">
        <v>50</v>
      </c>
      <c r="B60" s="78"/>
      <c r="C60" s="78"/>
      <c r="D60" s="78"/>
      <c r="E60" s="78"/>
      <c r="F60" s="78"/>
      <c r="G60" s="78"/>
      <c r="H60" s="78"/>
      <c r="I60" s="78"/>
      <c r="J60" s="78"/>
    </row>
    <row r="61" spans="1:19" ht="18" customHeight="1" x14ac:dyDescent="0.2">
      <c r="A61" s="12" t="s">
        <v>2</v>
      </c>
      <c r="B61" s="77" t="s">
        <v>51</v>
      </c>
      <c r="C61" s="77"/>
      <c r="D61" s="77"/>
      <c r="E61" s="77"/>
      <c r="F61" s="77"/>
      <c r="G61" s="77"/>
      <c r="H61" s="77"/>
      <c r="I61" s="77"/>
      <c r="J61" s="77"/>
    </row>
    <row r="62" spans="1:19" ht="18" customHeight="1" x14ac:dyDescent="0.2">
      <c r="A62" s="12" t="s">
        <v>2</v>
      </c>
      <c r="B62" s="77" t="s">
        <v>52</v>
      </c>
      <c r="C62" s="77"/>
      <c r="D62" s="77"/>
      <c r="E62" s="77"/>
      <c r="F62" s="77"/>
      <c r="G62" s="77"/>
      <c r="H62" s="77"/>
      <c r="I62" s="77"/>
      <c r="J62" s="77"/>
      <c r="K62" s="77"/>
      <c r="L62" s="77"/>
      <c r="M62" s="77"/>
      <c r="N62" s="77"/>
      <c r="O62" s="77"/>
      <c r="P62" s="77"/>
      <c r="Q62" s="10"/>
      <c r="R62" s="10"/>
      <c r="S62" s="10"/>
    </row>
    <row r="63" spans="1:19" ht="18" customHeight="1" x14ac:dyDescent="0.2">
      <c r="A63" s="12" t="s">
        <v>2</v>
      </c>
      <c r="B63" s="77" t="s">
        <v>53</v>
      </c>
      <c r="C63" s="77"/>
      <c r="D63" s="77"/>
      <c r="E63" s="77"/>
      <c r="F63" s="77"/>
      <c r="G63" s="77"/>
      <c r="H63" s="77"/>
      <c r="I63" s="77"/>
      <c r="J63" s="77"/>
      <c r="K63" s="77"/>
      <c r="L63" s="77"/>
      <c r="M63" s="77"/>
      <c r="N63" s="77"/>
      <c r="O63" s="77"/>
      <c r="P63" s="77"/>
      <c r="Q63" s="77"/>
      <c r="R63" s="77"/>
      <c r="S63" s="77"/>
    </row>
    <row r="64" spans="1:19" ht="18" customHeight="1" x14ac:dyDescent="0.2">
      <c r="A64" s="12" t="s">
        <v>2</v>
      </c>
      <c r="B64" s="77" t="s">
        <v>54</v>
      </c>
      <c r="C64" s="77"/>
      <c r="D64" s="77"/>
      <c r="E64" s="77"/>
      <c r="F64" s="77"/>
      <c r="G64" s="77"/>
      <c r="H64" s="77"/>
      <c r="I64" s="77"/>
      <c r="J64" s="77"/>
      <c r="K64" s="77"/>
      <c r="L64" s="77"/>
      <c r="M64" s="77"/>
      <c r="N64" s="77"/>
      <c r="O64" s="77"/>
      <c r="P64" s="77"/>
      <c r="Q64" s="77"/>
      <c r="R64" s="77"/>
    </row>
    <row r="65" spans="1:10" ht="16" customHeight="1" x14ac:dyDescent="0.2">
      <c r="A65" s="12"/>
      <c r="B65" s="77"/>
      <c r="C65" s="77"/>
      <c r="D65" s="77"/>
      <c r="E65" s="77"/>
      <c r="F65" s="77"/>
      <c r="G65" s="77"/>
      <c r="H65" s="77"/>
      <c r="I65" s="77"/>
      <c r="J65" s="77"/>
    </row>
  </sheetData>
  <mergeCells count="60">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 ref="B39:J39"/>
    <mergeCell ref="B40:M40"/>
    <mergeCell ref="A53:J53"/>
    <mergeCell ref="B41:K41"/>
    <mergeCell ref="B42:J42"/>
    <mergeCell ref="B43:J43"/>
    <mergeCell ref="B44:J44"/>
    <mergeCell ref="A46:J46"/>
    <mergeCell ref="B47:J47"/>
    <mergeCell ref="B33:K33"/>
    <mergeCell ref="A34:J34"/>
    <mergeCell ref="B35:J35"/>
    <mergeCell ref="B36:P36"/>
    <mergeCell ref="B37:S37"/>
    <mergeCell ref="B29:S29"/>
    <mergeCell ref="B30:J30"/>
    <mergeCell ref="B31:J31"/>
    <mergeCell ref="B32:J32"/>
    <mergeCell ref="B22:K22"/>
    <mergeCell ref="B23:J23"/>
    <mergeCell ref="B24:J24"/>
    <mergeCell ref="A26:J26"/>
    <mergeCell ref="B27:J27"/>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11:M11"/>
    <mergeCell ref="K1:L1"/>
    <mergeCell ref="M1:N1"/>
    <mergeCell ref="B17:N17"/>
    <mergeCell ref="B18:N18"/>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election activeCell="N27" sqref="N27"/>
    </sheetView>
  </sheetViews>
  <sheetFormatPr baseColWidth="10" defaultRowHeight="16" x14ac:dyDescent="0.2"/>
  <cols>
    <col min="11" max="11" width="2.6640625" customWidth="1"/>
  </cols>
  <sheetData>
    <row r="1" spans="11:20" ht="72" customHeight="1" x14ac:dyDescent="0.2">
      <c r="K1" s="62" t="s">
        <v>134</v>
      </c>
      <c r="L1" s="63"/>
      <c r="M1" s="61"/>
      <c r="N1" s="61"/>
      <c r="O1" s="1"/>
      <c r="Q1" s="15"/>
      <c r="R1" s="20"/>
      <c r="S1" s="79"/>
      <c r="T1" s="79"/>
    </row>
    <row r="2" spans="11:20" ht="19" customHeight="1" x14ac:dyDescent="0.2">
      <c r="K2" s="35"/>
      <c r="P2" s="80"/>
      <c r="Q2" s="1"/>
      <c r="R2" s="22"/>
      <c r="S2" s="22"/>
    </row>
    <row r="3" spans="11:20" ht="16" customHeight="1" x14ac:dyDescent="0.2">
      <c r="K3" s="61"/>
      <c r="P3" s="80"/>
      <c r="R3" s="22"/>
      <c r="S3" s="22"/>
    </row>
    <row r="4" spans="11:20" ht="16" customHeight="1" x14ac:dyDescent="0.2">
      <c r="K4" s="61"/>
      <c r="P4" s="80"/>
      <c r="R4" s="22"/>
      <c r="S4" s="22"/>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12</vt:i4>
      </vt:variant>
      <vt:variant>
        <vt:lpstr>Rangos con nombre</vt:lpstr>
      </vt:variant>
      <vt:variant>
        <vt:i4>3</vt:i4>
      </vt:variant>
    </vt:vector>
  </HeadingPairs>
  <TitlesOfParts>
    <vt:vector size="15" baseType="lpstr">
      <vt:lpstr>Inicio</vt:lpstr>
      <vt:lpstr>Agradecimiento</vt:lpstr>
      <vt:lpstr>Contenido</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2026-09-27T03:22:37Z</dcterms:modified>
</cp:coreProperties>
</file>